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daniel.ellis/WIPwork/Essential-Model-Documentation/docs/"/>
    </mc:Choice>
  </mc:AlternateContent>
  <xr:revisionPtr revIDLastSave="0" documentId="8_{D34ABBC2-DA5C-3942-9550-C9D6ABD99244}" xr6:coauthVersionLast="47" xr6:coauthVersionMax="47" xr10:uidLastSave="{00000000-0000-0000-0000-000000000000}"/>
  <bookViews>
    <workbookView xWindow="1660" yWindow="6220" windowWidth="20960" windowHeight="9720" activeTab="4" xr2:uid="{00000000-000D-0000-FFFF-FFFF00000000}"/>
  </bookViews>
  <sheets>
    <sheet name="Instructions" sheetId="1" r:id="rId1"/>
    <sheet name="Top-Level Model" sheetId="2" r:id="rId2"/>
    <sheet name="COMPONENT_SELECTOR" sheetId="3" r:id="rId3"/>
    <sheet name="Model Components" sheetId="4" r:id="rId4"/>
    <sheet name="Horizontal Grid" sheetId="5" r:id="rId5"/>
    <sheet name="Vertical Grid" sheetId="6" r:id="rId6"/>
    <sheet name="References" sheetId="7" r:id="rId7"/>
    <sheet name="CV_Component" sheetId="8" r:id="rId8"/>
    <sheet name="CV_Calendar" sheetId="9" r:id="rId9"/>
    <sheet name="CV_Grid" sheetId="10" r:id="rId10"/>
    <sheet name="CV_GridMapping" sheetId="11" r:id="rId11"/>
    <sheet name="CV_Region" sheetId="12" r:id="rId12"/>
    <sheet name="CV_TemporalRefinement" sheetId="13" r:id="rId13"/>
    <sheet name="CV_Arrangement" sheetId="14" r:id="rId14"/>
    <sheet name="CV_CellVariableType" sheetId="15" r:id="rId15"/>
    <sheet name="CV_MeshLocation" sheetId="16" r:id="rId16"/>
    <sheet name="CV_HorizontalUnits" sheetId="17" r:id="rId17"/>
    <sheet name="CV_TruncationMethod" sheetId="18" r:id="rId18"/>
    <sheet name="CV_NominalResolution" sheetId="19" r:id="rId19"/>
    <sheet name="CV_Coordinate" sheetId="20" r:id="rId20"/>
    <sheet name="CV_VerticalUnits" sheetId="21" r:id="rId2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3" l="1"/>
  <c r="C15" i="3" s="1"/>
  <c r="D15" i="3" s="1"/>
  <c r="E15" i="3" s="1"/>
  <c r="B6" i="2" s="1"/>
  <c r="B14" i="3"/>
  <c r="C14" i="3" s="1"/>
  <c r="D14" i="3" s="1"/>
  <c r="E14" i="3" s="1"/>
  <c r="B5" i="2" s="1"/>
  <c r="B13" i="3"/>
  <c r="C13" i="3" s="1"/>
  <c r="D13" i="3" s="1"/>
  <c r="E13" i="3" s="1"/>
  <c r="B4" i="2" s="1"/>
  <c r="B25" i="2"/>
  <c r="B24" i="2"/>
  <c r="B23" i="2"/>
  <c r="B22" i="2"/>
  <c r="B21" i="2"/>
  <c r="B20" i="2"/>
  <c r="B19" i="2"/>
  <c r="B18" i="2"/>
  <c r="B17" i="2" l="1"/>
  <c r="B16" i="2"/>
  <c r="A2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tc={C74674D0-B78D-C671-1EE1-2DA6C73AEF9D}</author>
  </authors>
  <commentList>
    <comment ref="B7" authorId="0" shapeId="0" xr:uid="{C74674D0-B78D-C671-1EE1-2DA6C73AEF9D}">
      <text>
        <t xml:space="preserve">[Threaded comment]
Your version of Excel allows you to read this threaded comment; however, any edits to it will get removed if the file is opened in a newer version of Excel. Learn more: https://go.microsoft.com/fwlink/?linkid=870924
Comment:
    This is great! I found two typos (typing errors) and I have made a grammar suggestion.
Typo: "Bossert et al. 2026".  The year should be 2025.
Typo: "consevration". should be conservation.
Grammar: "The atmospheric is represented based on" probably should be "The atmosphere is based on" or "The representation of the atmosphere is based on"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tc={310946CF-8786-54C3-EADF-10C1BBB3A6C9}</author>
    <author>tc={5306D331-2B85-CBFA-E803-05130112A1CC}</author>
    <author>tc={02D73FC4-9686-E58D-2D39-1F9EE25295C8}</author>
    <author>tc={3FD17F4F-31FF-37DD-071F-1F619B0CF827}</author>
  </authors>
  <commentList>
    <comment ref="B7" authorId="0" shapeId="0" xr:uid="{310946CF-8786-54C3-EADF-10C1BBB3A6C9}">
      <text>
        <t xml:space="preserve">[Threaded comment]
Your version of Excel allows you to read this threaded comment; however, any edits to it will get removed if the file is opened in a newer version of Excel. Learn more: https://go.microsoft.com/fwlink/?linkid=870924
Comment:
    The text refers to Michou et al. 2015 and Michou et al. 2011, but this is Michou et al. 2020.
</t>
      </text>
    </comment>
    <comment ref="B8" authorId="1" shapeId="0" xr:uid="{5306D331-2B85-CBFA-E803-05130112A1CC}">
      <text>
        <t xml:space="preserve">[Threaded comment]
Your version of Excel allows you to read this threaded comment; however, any edits to it will get removed if the file is opened in a newer version of Excel. Learn more: https://go.microsoft.com/fwlink/?linkid=870924
Comment:
    The text refers to Roehrig et al. 2019, but this is Roehrig et al. 2020.
</t>
      </text>
    </comment>
    <comment ref="B10" authorId="2" shapeId="0" xr:uid="{02D73FC4-9686-E58D-2D39-1F9EE25295C8}">
      <text>
        <t xml:space="preserve">[Threaded comment]
Your version of Excel allows you to read this threaded comment; however, any edits to it will get removed if the file is opened in a newer version of Excel. Learn more: https://go.microsoft.com/fwlink/?linkid=870924
Comment:
    The text refers to Delire et al. 2019 but this is Delire et al. 2020.
</t>
      </text>
    </comment>
    <comment ref="B13" authorId="3" shapeId="0" xr:uid="{3FD17F4F-31FF-37DD-071F-1F619B0CF827}">
      <text>
        <t xml:space="preserve">[Threaded comment]
Your version of Excel allows you to read this threaded comment; however, any edits to it will get removed if the file is opened in a newer version of Excel. Learn more: https://go.microsoft.com/fwlink/?linkid=870924
Comment:
    No year on this reference
</t>
      </text>
    </comment>
  </commentList>
</comments>
</file>

<file path=xl/sharedStrings.xml><?xml version="1.0" encoding="utf-8"?>
<sst xmlns="http://schemas.openxmlformats.org/spreadsheetml/2006/main" count="707" uniqueCount="549">
  <si>
    <t>EMD (Essential Model Documentation) Template - v0.993</t>
  </si>
  <si>
    <t>Overview</t>
  </si>
  <si>
    <t>This template allows you to document an Earth System Model according to the EMD specification.</t>
  </si>
  <si>
    <t>The EMD captures essential information about model configuration for CMIP7 and other projects.</t>
  </si>
  <si>
    <t>How to Use This Template</t>
  </si>
  <si>
    <t>1. Go to 'COMPONENT_SELECTOR' sheet and select which components are Dynamic/Prescribed/Omitted</t>
  </si>
  <si>
    <t>2. Return to 'Top-Level Model' sheet - component fields will auto-populate!</t>
  </si>
  <si>
    <t>3. Fill other top-level properties and check the validation panel</t>
  </si>
  <si>
    <t>4. Add references in 'References' sheet (you'll need Reference IDs later)</t>
  </si>
  <si>
    <t>5. Create grid definitions in 'Horizontal Grid' and 'Vertical Grid' sheets</t>
  </si>
  <si>
    <t>6. Document each dynamic component in 'Model Components' sheet</t>
  </si>
  <si>
    <t>7. All dropdowns pull values from CV_* (Controlled Vocabulary) sheets</t>
  </si>
  <si>
    <t>Component Selection (NEW!)</t>
  </si>
  <si>
    <t>• Use 'COMPONENT_SELECTOR' sheet to choose components with Yes/No dropdowns</t>
  </si>
  <si>
    <t>• Select 'Yes' under Dynamic/Prescribed/Omitted columns for each component</t>
  </si>
  <si>
    <t>• Values automatically appear in Top-Level Model sheet</t>
  </si>
  <si>
    <t>• Validation panel updates automatically as you select components</t>
  </si>
  <si>
    <t>Using Dropdowns</t>
  </si>
  <si>
    <t>• Click on cells to see dropdown arrows for fields with controlled vocabularies</t>
  </si>
  <si>
    <t>• Dropdowns reference CV_* sheets - you can view but should not edit those sheets</t>
  </si>
  <si>
    <t>Sheet Descriptions</t>
  </si>
  <si>
    <t>• Top-Level Model: Core model properties (name, family, components, calendar, etc.)</t>
  </si>
  <si>
    <t>• Model Components: Details for each dynamic component (aerosol, atmosphere, ocean, etc.)</t>
  </si>
  <si>
    <t>• Horizontal Grid: Native horizontal grid properties for each component</t>
  </si>
  <si>
    <t>• Vertical Grid: Native vertical grid properties for each component</t>
  </si>
  <si>
    <t>• References: Publications and DOIs for model and components</t>
  </si>
  <si>
    <t>• CV_* sheets: Controlled vocabularies with all valid values (reference only)</t>
  </si>
  <si>
    <t>Important Notes</t>
  </si>
  <si>
    <t>• Red/Pink backgrounds = Required fields</t>
  </si>
  <si>
    <t>• Blue backgrounds = Optional fields</t>
  </si>
  <si>
    <t>• Yellow rows = Examples (can be deleted)</t>
  </si>
  <si>
    <t>• Fields with dropdowns use values from CV_* sheets</t>
  </si>
  <si>
    <t>• For comma-separated fields, manually type values separated by commas</t>
  </si>
  <si>
    <t>• DOIs must be in format: https://doi.org/...</t>
  </si>
  <si>
    <t>• For CMIP7, this documentation is MANDATORY for model registration</t>
  </si>
  <si>
    <t>For Questions</t>
  </si>
  <si>
    <t>Refer to: EMD Specification v0.993 (2025-10-12)</t>
  </si>
  <si>
    <t>Contact: CMIP7 Documentation Task Team</t>
  </si>
  <si>
    <t>Property</t>
  </si>
  <si>
    <t>Value</t>
  </si>
  <si>
    <t>Description</t>
  </si>
  <si>
    <t>Example</t>
  </si>
  <si>
    <t>Required</t>
  </si>
  <si>
    <t>name</t>
  </si>
  <si>
    <t>CNRM-ESM2-1e</t>
  </si>
  <si>
    <t>The name of the top-level model (will be source_id in CMIP7)</t>
  </si>
  <si>
    <t>HadGEM3-GC31-HH</t>
  </si>
  <si>
    <t>Yes</t>
  </si>
  <si>
    <t>family</t>
  </si>
  <si>
    <t>CNRM-CM, CNRM-ESM</t>
  </si>
  <si>
    <t>Model family name (use 'none' if no family)</t>
  </si>
  <si>
    <t>HadGEM3</t>
  </si>
  <si>
    <t>dynamic_components</t>
  </si>
  <si>
    <t>Components dynamically simulated → Use COMPONENT SELECTOR below ↓</t>
  </si>
  <si>
    <t>atmosphere,ocean,sea_ice</t>
  </si>
  <si>
    <t>prescribed_components</t>
  </si>
  <si>
    <t>Components with prescribed values → Use COMPONENT SELECTOR below ↓</t>
  </si>
  <si>
    <t>atmospheric_chemistry</t>
  </si>
  <si>
    <t>No</t>
  </si>
  <si>
    <t>omitted_components</t>
  </si>
  <si>
    <t>Components wholly omitted → Use COMPONENT SELECTOR below ↓</t>
  </si>
  <si>
    <t>aerosol</t>
  </si>
  <si>
    <t>description</t>
  </si>
  <si>
    <t>CNRM-ESM2-1e is the CNRM Earth System model version 2 designed for CMIP6 on the basis of the physical core CNRM-CM6-1 (Voldoire et al. 2019). In concentration mode, it is the same model as CNRM-ESM2-1 (Séférian et al. 2019), it only differs from CNRM-ESM2-1 in emission-driven mode (see Bossert et al. 2026). The main adaptations consist in a better consevration of the carbon in all the components leading to a more consistent/realistic carbon flux evolution in historical simulations. The atmospheric is represented based on ARPEGE-Climat V6.3 online coupled to the land, terrestrial biophere and lakes components included in the SURFEX v8.0 platform. The pronostic aerosols scheme TACTIC v2 is embedded in the atmospheric component as well as the stratospheric chemistry scheme REPROBUS v2. The water budget is closed by the river routing scheme CTRIP v2. NEMO3.6 is implemented to represent the ocean along with GELATO v6 for the seaice. The ocean biogeochemistry is simulated using the PISCES v2-gas model. Land ice-sheet are not represented, the snow mass budget over these icesheet and land glaciers is directly fed to the ocean.</t>
  </si>
  <si>
    <t>Brief free-text scientific overview of the model</t>
  </si>
  <si>
    <t>The model includes...</t>
  </si>
  <si>
    <t>calendar</t>
  </si>
  <si>
    <t>standard</t>
  </si>
  <si>
    <t>Calendar(s) used (comma-separated, from CV_Calendar)</t>
  </si>
  <si>
    <t>release_year</t>
  </si>
  <si>
    <t>Year model was released or first used for publications</t>
  </si>
  <si>
    <t>2016</t>
  </si>
  <si>
    <t>💡 TIP:</t>
  </si>
  <si>
    <t>To select components, go to the 'COMPONENT_SELECTOR' sheet → Choose Yes/No for each component → Values will auto-fill above</t>
  </si>
  <si>
    <t>📊 MODEL DOCUMENTATION STATUS</t>
  </si>
  <si>
    <t>Automatic validation of model documentation completeness and consistency</t>
  </si>
  <si>
    <t>Check</t>
  </si>
  <si>
    <t>Status</t>
  </si>
  <si>
    <t>Details</t>
  </si>
  <si>
    <t>Sheet</t>
  </si>
  <si>
    <t>Action Required</t>
  </si>
  <si>
    <t>1. Required Top-Level Fields</t>
  </si>
  <si>
    <t>name, family, dynamic_components, description, calendar, release_year</t>
  </si>
  <si>
    <t>Top-Level Model</t>
  </si>
  <si>
    <t>Fill all required fields (rows 2-9)</t>
  </si>
  <si>
    <t>2. Dynamic Components Documented</t>
  </si>
  <si>
    <t>Each component in dynamic_components must have a row in Model Components</t>
  </si>
  <si>
    <t>Model Components</t>
  </si>
  <si>
    <t>Add component rows for each dynamic component</t>
  </si>
  <si>
    <t>3. Component Grids Defined</t>
  </si>
  <si>
    <t>All components must have horizontal_grid_id and vertical_grid_id</t>
  </si>
  <si>
    <t>Specify grid IDs for all components</t>
  </si>
  <si>
    <t>4. Horizontal Grids Exist</t>
  </si>
  <si>
    <t>At least one horizontal grid must be defined</t>
  </si>
  <si>
    <t>Horizontal Grid</t>
  </si>
  <si>
    <t>Define horizontal grids matching component grid IDs</t>
  </si>
  <si>
    <t>5. Vertical Grids Exist</t>
  </si>
  <si>
    <t>At least one vertical grid must be defined</t>
  </si>
  <si>
    <t>Vertical Grid</t>
  </si>
  <si>
    <t>Define vertical grids matching component grid IDs</t>
  </si>
  <si>
    <t>6. References Provided</t>
  </si>
  <si>
    <t>At least one reference must be provided for model and components</t>
  </si>
  <si>
    <t>References</t>
  </si>
  <si>
    <t>Add references with DOIs</t>
  </si>
  <si>
    <t>7. Component References Linked</t>
  </si>
  <si>
    <t>Components should reference publications</t>
  </si>
  <si>
    <t>Add reference_ids to component rows</t>
  </si>
  <si>
    <t>8. Grid Resolution Data</t>
  </si>
  <si>
    <t>Grids should have resolution_range and mean_resolution</t>
  </si>
  <si>
    <t>Calculate grid resolutions</t>
  </si>
  <si>
    <t>9. Embedded/Coupled Exclusivity</t>
  </si>
  <si>
    <t>Components must be either embedded OR coupled, not both</t>
  </si>
  <si>
    <t>Verify embedded_in and coupled_with are mutually exclusive</t>
  </si>
  <si>
    <t>10. Grid Units Consistency</t>
  </si>
  <si>
    <t>Horizontal grids with resolutions must have units specified</t>
  </si>
  <si>
    <t>Specify horizontal_units when resolution_x/y are filled</t>
  </si>
  <si>
    <t>Legend:</t>
  </si>
  <si>
    <t>✓ OK</t>
  </si>
  <si>
    <t>Check passed - requirement met</t>
  </si>
  <si>
    <t>✗ Missing</t>
  </si>
  <si>
    <t>Required data is missing - action needed</t>
  </si>
  <si>
    <t>⚠ Warning</t>
  </si>
  <si>
    <t>Review needed or not applicable</t>
  </si>
  <si>
    <t>Component</t>
  </si>
  <si>
    <t>Dynamic?</t>
  </si>
  <si>
    <t>Prescribed?</t>
  </si>
  <si>
    <t>Omitted?</t>
  </si>
  <si>
    <t>atmosphere</t>
  </si>
  <si>
    <t>land_surface</t>
  </si>
  <si>
    <t>land_ice</t>
  </si>
  <si>
    <t>ocean</t>
  </si>
  <si>
    <t>ocean_biogeochemistry</t>
  </si>
  <si>
    <t>sea_ice</t>
  </si>
  <si>
    <t>Raw</t>
  </si>
  <si>
    <t>Step 1</t>
  </si>
  <si>
    <t>Step 2</t>
  </si>
  <si>
    <t>FINAL</t>
  </si>
  <si>
    <t>Dynamic Components Result:</t>
  </si>
  <si>
    <t>Prescribed Components Result:</t>
  </si>
  <si>
    <t>Omitted Components Result:</t>
  </si>
  <si>
    <t>📝 How to use:</t>
  </si>
  <si>
    <t>1. Select 'Yes' in Dynamic/Prescribed/Omitted columns for each component</t>
  </si>
  <si>
    <t>2. The FINAL column (E) shows the result with correct formatting</t>
  </si>
  <si>
    <t>3. These values automatically appear in Top-Level Model sheet</t>
  </si>
  <si>
    <t>4. The validation panel will update when you return to Top-Level Model</t>
  </si>
  <si>
    <t>Component ID</t>
  </si>
  <si>
    <t>component</t>
  </si>
  <si>
    <t>code_base</t>
  </si>
  <si>
    <t>embedded_in</t>
  </si>
  <si>
    <t>coupled_with</t>
  </si>
  <si>
    <t>horizontal_grid_id</t>
  </si>
  <si>
    <t>vertical_grid_id</t>
  </si>
  <si>
    <t>reference_ids</t>
  </si>
  <si>
    <t>Unique ID for this component (e.g., COMP001)</t>
  </si>
  <si>
    <t>Component type (DROPDOWN from CV_Component)</t>
  </si>
  <si>
    <t>Component name</t>
  </si>
  <si>
    <t>Family name (or 'none')</t>
  </si>
  <si>
    <t>Scientific overview</t>
  </si>
  <si>
    <t>URL/DOI for source code (or 'private')</t>
  </si>
  <si>
    <t>Host component if embedded (DROPDOWN from CV_Component)</t>
  </si>
  <si>
    <t>Coupled components (comma-separated, from CV_Component)</t>
  </si>
  <si>
    <t>ID of horizontal grid (reference to Horizontal Grid sheet)</t>
  </si>
  <si>
    <t>ID of vertical grid (reference to Vertical Grid sheet)</t>
  </si>
  <si>
    <t>Reference IDs (comma-separated, from References sheet)</t>
  </si>
  <si>
    <t>COMP001</t>
  </si>
  <si>
    <t>HadAM3</t>
  </si>
  <si>
    <t>HadAM</t>
  </si>
  <si>
    <t>Dynamical, thermodynamical, and physical processes in the atmosphere...</t>
  </si>
  <si>
    <t>https://doi.org/10.5281/zenodo.xxx</t>
  </si>
  <si>
    <t>ocean,sea_ice,land_surface</t>
  </si>
  <si>
    <t>HGRID001</t>
  </si>
  <si>
    <t>VGRID001</t>
  </si>
  <si>
    <t>REF001,REF002</t>
  </si>
  <si>
    <t>TACTIC</t>
  </si>
  <si>
    <t>none</t>
  </si>
  <si>
    <t xml:space="preserve">TACTIC (Tropospheric Aerosols for ClimaTe In CNRM) is an interactive tropospheric aerosol scheme, able to represent the main anthropogenic and natural aerosol types in the troposphere. Originally developed in the GEMS/MACC project (Morcrette et al., 2009), this scheme has been adapted to the ARPEGE/ALADIN-Climat models (Michou et al., 2015 and Nabat et al., 2015). Aerosols are included through sectional bins, separating desert dust (3 size bins), sea-salt (3 size bins), sulphate (1 bin, as well as 1 additional variable for sulfate precursors considered as SO2), organic matter (2 bins: hydrophobic and hydrophilic particles) and black carbon (2 bins: hydrophobic and hydrophilic particles) particles. All these 12 species are prognostic variables in the model, submitted to transport (semi-lagrangian advection, and convective transport), dry deposition, in-cloud and below-cloud scavenging. The interaction with shortwave and longwave radiation, is also taken into account through optical properties (extinction coefficient, single scattering albedo and asymmetry parameter) calculated using the Mie theory. Sulfate, organic matter and sea salt concentrations are used to determine the cloud droplet number concentration following Menon et al. (2002), thus representing the cloud-albedo effect (1st indirect aerosol effect). </t>
  </si>
  <si>
    <t>private</t>
  </si>
  <si>
    <t>REF004</t>
  </si>
  <si>
    <t>Arpege-Climat Version 6.3</t>
  </si>
  <si>
    <t>Arpege-Climat</t>
  </si>
  <si>
    <t>ARPEGE-Climat Version 6.3 is the atmospheric component of the CNRM climate and Earth System models (CNRM-CM6-1 and CNRM-ESM2-1). It is based on the cycle 37 of the ARPEGE/IFS model (declared in 2010), developed under a collaboration between Météo-France and ECMWF. ARPEGE-Climat shares a large part of its physics and dynamics with its NWP counterpart ARPEGE used operationnally at Météo-France. In comparison to ARPEGE-Climat Version 5.1 used for the CMIP5 exercice in CNRM-CM5.1, most of the atmospheric physics has been updated or revisited (Roehrig et al. 2019, Voldoire et al. 2019). For the surface, it is coupled to the SURFEX platform (Decharme et al. 2019).</t>
  </si>
  <si>
    <t>land_surface,ocean</t>
  </si>
  <si>
    <t>REF005</t>
  </si>
  <si>
    <t>REPROBUS-C (v2.0)</t>
  </si>
  <si>
    <t>REPROBUS</t>
  </si>
  <si>
    <t>The chemistry scheme of CNRM-ESM2 was first implemented and evaluated in Michou et al. (2011), and more recently during the course of the Chemistry Climate Model Initiative (CCMI) research (e.g., Morgenstern et al. (2017); Wales et al. (2018); Maycock et al. (2018a,b); Zhang et al. (2018)). It is an “on-line” scheme whereby the chemistry routines are part of the physics of the atmospheric climate model and called at each time-step of the physics. The scheme does not represent the low troposphere ozone non-methane hydrocarbon chemistry and considers 63 chemistry species that are prognostic variables of the climate model. Chemical evolution is computed down to the 560 hPa level (for details see Michou et al. (2011) and Morgenstern et al. (2017)). Below this level, the concentration of a number of species are relaxed towards the yearly evolving global mean abundances of CMIP6 (Meinshausen et al. (2017)); for the other species concentrations below 560 hPa level are relaxed towards the 560 hPa value. Coherently with the relaxation, explicit emissions, dry deposition, wash-out and parameterised transport (diffusion and convection) of the chemical fields are not considered. The 3-D concentrations of H2O, CO2 , O3 , CH4 , N2O, CFC11, and CFC12 are transferred to the radiative code.</t>
  </si>
  <si>
    <t>SURFEX v8 modeling platform</t>
  </si>
  <si>
    <t>SURFEX</t>
  </si>
  <si>
    <t>SURFEXv8.0 encompasses several submodules for modeling the interactions between the atmosphere, the ocean, the lakes and the land surface. The land surface is represented using the new ISBA-CTRIP coupled system (Decharme et al., 2019; Delire et al. 2019). ISBA calculates the time evolution of the energy, carbon and water budgets at the land surface while CTRIP simulates river discharges (including carbon transport) up to the ocean from the total runoff (and total soil carbon leaching) computed by ISBA. The FLAKE model simulate surface fluxes over lakes, including both the Caspian and the Aral seas, and computes the temporal evolution of the vertical lake temperature profile from the surface mixing layer to the bottom (Le Moigne et al. 2016).</t>
  </si>
  <si>
    <t>https://www.umr-cnrm.fr/surfex/spip.php?rubrique8</t>
  </si>
  <si>
    <t>atmosphere,ocean</t>
  </si>
  <si>
    <t>VGRID002</t>
  </si>
  <si>
    <t>REF006,REF007,REF008,REF009</t>
  </si>
  <si>
    <t>NEMO : Nucleus for European Modelling of the Ocean version 3.6 (OPA)</t>
  </si>
  <si>
    <t>NEMO</t>
  </si>
  <si>
    <t>The ocean component of CNRM-ESM2-1 (Séférian et al. 2019) is based on the version 3.6 of NEMO (Nucleus for European Models of the Ocean ; Madec, 2016). At the surface, the model uses the split-explicit non-linear free surface formulation proposed by Shchepetkin and McWilliams (2005), with a variable volume. Seawater thermodynamics uses the equation of state defined in the Thermodynamic Equation of State 2010 (TEOS-10, IOC et al., 2010), with conservative temperature and absolute salinity being then the prognostic variables. 
    Radiative transfer in the water column is resolved using a chlorophyll-dependent three-waveband scheme as described in Lengaigne et al. (2007) and Séférian et al. (2019).
    Lateral diffusivity and viscosity are parameterized as in NOCS-ORCA1 (Danabasoglu et al., 2014). Parameterization of vertical mixing is also similar, with two notable exceptions in CNRM-CM6-1: mixing induced by breaking internal waves is parameterized following de Lavergne et al. (2016) and the Fox-Kemper et al. (2011)  submesoscale mixed layer restratification scheme is activated.</t>
  </si>
  <si>
    <t>atmosphere,land_surface</t>
  </si>
  <si>
    <t>HGRID002</t>
  </si>
  <si>
    <t>VGRID003</t>
  </si>
  <si>
    <t>REF001</t>
  </si>
  <si>
    <t>Pelagic Interaction Scheme for Carbon and Ecosystem Studies model volume 2 version trace gases (PISCESv2-gas)</t>
  </si>
  <si>
    <t>PISCES</t>
  </si>
  <si>
    <t>Pelagic Interaction Scheme for Carbon and Ecosystem Studies model volume 2 version trace gases (PISCESv2-gas) derives from PISCESv2 as described in Aumont et al. (2015). PISCESv2-gas simulates the cycling of carbon, oxygen, and of the major nutrients determining phytoplankton growth (phosphate, nitrate, ammonium, iron and silicic acid). PISCESv2-gas also simulates dimethylsulfide (DMS) and nitrous oxide (N2O) tracers (see Bock et al. 2021 and Berthet et al. 2023). The carbon chemistry of the model is based on the Ocean Carbon Model Intercomparison Project (OMIP) protocol and the parametrization proposed by Wanninkhof (2014) is used to compute air-sea gas exchange of CO2, O2, DMS and N2O. PISCES includes a simple representation of the marine ecosystem with two phytoplankton size classes, representing nanophytoplankton and diatoms, as well as two zooplankton size classes, representing microzooplankton and mesozooplankton. Phytoplankton growth is limited by the availability of nutrients, temperature, and light. There are three non-living components of organic carbon in the model: semi-labile dissolved organic carbon (DOC), with a lifetime of several weeks to years, as well as large and small detrital particles, which are fuelled by mortality, aggregation, fecal pellet production and grazing. Biogenic silica and calcite particles are also included
Nutrients and/or carbon are supplied to the ocean from three different sources: atmospheric deposition, rivers and sediment mobilization. These sources are explicitly included and vary in time apart the iron input of sediment. Atmospheric deposition of Fe, P and Si has been estimated from the INCA model and the one of N is coming from the Input4MIPS database.  Riverine inputs are interactive in CNRM-ESM2-1 because the litter and soil carbon leaching in SURFEXv8.0 (see Section 2.4 for further details), is routed as dissolved organic carbon in CTRIP and supplied to the oceans as organic carbon by rivers in PISCESv2-gas. Since only the routing of dissolved organic carbon (DOC) is bounded in CNRM-ESM2-1, the supply of the other nutrients has been parameterized using the global average ratios of nitrogen-to-DOC (0.72), phosphorus-to-DOC (0.59), silicon-to-DOC (0.15) from Mayorga et al. (2010) and the global average ratios of DIC-to-DOC (1.48) and Alk-to-DOC (1.11) from Ludwig et al. (1996).River discharge of carbon and nutrients is taken from GlobalNews in NEMO standalone mode. Iron input from sediment mobilization has been parameterized as in Aumont et al. (2015). 
Nutrients and/or carbon are supplied to the ocean from three different sources: atmospheric deposition, rivers and sediment mobilization. These sources are explicitly included but do not vary in time apart from a climatological seasonal cycle for the atmospheric input. Atmospheric deposition (Fe, N, P and Si) has been estimated from the INCA model (Aumont et al, 2008). River discharge of carbon and nutrients is taken from Ludwig et al (1996). Iron input from sediment mobilization has been parameterized as in Aumont and Bopp (2006).
PISCES is used here not only to compute air-sea fluxes of carbon, but also to compute the effect of a biophysical coupling: the chlorophyll concentration produced by the biological component retroacts on the ocean heat budget by modulating the absorption of light as well as the oceanic heating rate (see Lengaigne et al (2007) for a detailed description).</t>
  </si>
  <si>
    <t>https://gitlab.in2p3.fr/pisco/pisces-gas/pisces-gas</t>
  </si>
  <si>
    <t>REF001,REF010,REF011</t>
  </si>
  <si>
    <t>GELATO</t>
  </si>
  <si>
    <t>Global Experimental Leads and sea ice for ATmosphere and Ocean</t>
  </si>
  <si>
    <t>VGRID004</t>
  </si>
  <si>
    <t>REF002</t>
  </si>
  <si>
    <t>Grid ID</t>
  </si>
  <si>
    <t>grid_label</t>
  </si>
  <si>
    <t>grid</t>
  </si>
  <si>
    <t>grid_mapping</t>
  </si>
  <si>
    <t>region</t>
  </si>
  <si>
    <t>temporal_refinement</t>
  </si>
  <si>
    <t>arrangement</t>
  </si>
  <si>
    <t>cell_variable_type</t>
  </si>
  <si>
    <t>mesh_location</t>
  </si>
  <si>
    <t>resolution_x</t>
  </si>
  <si>
    <t>resolution_y</t>
  </si>
  <si>
    <t>horizontal_units</t>
  </si>
  <si>
    <t>southernmost_latitude</t>
  </si>
  <si>
    <t>westernmost_longitude</t>
  </si>
  <si>
    <t>n_cells</t>
  </si>
  <si>
    <t>truncation_method</t>
  </si>
  <si>
    <t>truncation_number</t>
  </si>
  <si>
    <t>resolution_range_km_min</t>
  </si>
  <si>
    <t>resolution_range_km_max</t>
  </si>
  <si>
    <t>mean_resolution_km</t>
  </si>
  <si>
    <t>nominal_resolution</t>
  </si>
  <si>
    <t>Unique ID (e.g., HGRID001)</t>
  </si>
  <si>
    <t>Free-text identifier (optional)</t>
  </si>
  <si>
    <t>Grid type (DROPDOWN from CV_Grid)</t>
  </si>
  <si>
    <t>Free-text description (optional)</t>
  </si>
  <si>
    <t>Coordinate reference system (DROPDOWN from CV_GridMapping)</t>
  </si>
  <si>
    <t>Geographical regions (comma-separated from CV_Region)</t>
  </si>
  <si>
    <t>Temporal refinement (DROPDOWN from CV_TemporalRefinement)</t>
  </si>
  <si>
    <t>Grid arrangement (DROPDOWN from CV_Arrangement)</t>
  </si>
  <si>
    <t>Variable types on cells (comma-separated from CV_CellVariableType)</t>
  </si>
  <si>
    <t>Mesh location for unstructured (DROPDOWN from CV_MeshLocation)</t>
  </si>
  <si>
    <t>Cell size in X direction</t>
  </si>
  <si>
    <t>Cell size in Y direction</t>
  </si>
  <si>
    <t>Units for resolution_x/y (DROPDOWN from CV_HorizontalUnits)</t>
  </si>
  <si>
    <t>Southernmost latitude (-90 to 90)</t>
  </si>
  <si>
    <t>Westernmost longitude (0 to &lt;360)</t>
  </si>
  <si>
    <t>Total number of cells</t>
  </si>
  <si>
    <t>Spectral truncation method (DROPDOWN from CV_TruncationMethod)</t>
  </si>
  <si>
    <t>Truncation wave number</t>
  </si>
  <si>
    <t>Min resolution in km</t>
  </si>
  <si>
    <t>Max resolution in km</t>
  </si>
  <si>
    <t>Mean resolution in km</t>
  </si>
  <si>
    <t>Nominal resolution (DROPDOWN from CV_NominalResolution)</t>
  </si>
  <si>
    <t>regular_latitude_longitude</t>
  </si>
  <si>
    <t>latitude_longitude</t>
  </si>
  <si>
    <t>global</t>
  </si>
  <si>
    <t>static</t>
  </si>
  <si>
    <t>arakawa_c</t>
  </si>
  <si>
    <t>mass</t>
  </si>
  <si>
    <t>1.25</t>
  </si>
  <si>
    <t>0.9</t>
  </si>
  <si>
    <t>degree</t>
  </si>
  <si>
    <t>-89.5</t>
  </si>
  <si>
    <t>0.5</t>
  </si>
  <si>
    <t>55296</t>
  </si>
  <si>
    <t>100.0</t>
  </si>
  <si>
    <t>170.1</t>
  </si>
  <si>
    <t>139.5</t>
  </si>
  <si>
    <t>100 km</t>
  </si>
  <si>
    <t>TL127</t>
  </si>
  <si>
    <t>linear_spectral_gaussian</t>
  </si>
  <si>
    <t>arakawa_a</t>
  </si>
  <si>
    <t>triangular</t>
  </si>
  <si>
    <t>eORCA1L75</t>
  </si>
  <si>
    <t>tripolar</t>
  </si>
  <si>
    <t>not applicable</t>
  </si>
  <si>
    <t>coordinate</t>
  </si>
  <si>
    <t>n_z</t>
  </si>
  <si>
    <t>n_z_range_min</t>
  </si>
  <si>
    <t>n_z_range_max</t>
  </si>
  <si>
    <t>bottom_layer_thickness</t>
  </si>
  <si>
    <t>top_layer_thickness</t>
  </si>
  <si>
    <t>top_of_model</t>
  </si>
  <si>
    <t>vertical_units</t>
  </si>
  <si>
    <t>Unique ID (e.g., VGRID001)</t>
  </si>
  <si>
    <t>Coordinate type (DROPDOWN from CV_Coordinate)</t>
  </si>
  <si>
    <t>Number of layers (if constant)</t>
  </si>
  <si>
    <t>Min layers (if variable)</t>
  </si>
  <si>
    <t>Max layers (if variable)</t>
  </si>
  <si>
    <t>Bottom layer thickness</t>
  </si>
  <si>
    <t>Top layer thickness</t>
  </si>
  <si>
    <t>Top of model boundary</t>
  </si>
  <si>
    <t>Units (DROPDOWN from CV_VerticalUnits)</t>
  </si>
  <si>
    <t>atmosphere_hybrid_height_coordinate</t>
  </si>
  <si>
    <t>85</t>
  </si>
  <si>
    <t>100</t>
  </si>
  <si>
    <t>10</t>
  </si>
  <si>
    <t>84763.34</t>
  </si>
  <si>
    <t>m</t>
  </si>
  <si>
    <t>atmosphere_hybrid_sigma_pressure_coordinate</t>
  </si>
  <si>
    <t>Pa</t>
  </si>
  <si>
    <t>depth</t>
  </si>
  <si>
    <t>14 soil layers (0.01, 0.04, 0.1, 0.2, 0.4, 0.6, 0.8, 1.0, 1.5, 2.0, 3.0, 5.0, 8.0, and 12.0 m) but the soil moisture profile is computed only over the rooting depth, from 0.2 (rocks) to 8 m (tropical forest) according to the land cover type, while the soil temperature is computed down to a depth of 12 m. Over the permafrost regions, all the 14 layers are solved in terms of moisture and temperature. See Decharme et al. (2019) for more details.</t>
  </si>
  <si>
    <t>ocean_sigma_z_coordinate</t>
  </si>
  <si>
    <t>height</t>
  </si>
  <si>
    <t>Reference ID</t>
  </si>
  <si>
    <t>citation</t>
  </si>
  <si>
    <t>doi</t>
  </si>
  <si>
    <t>Unique ID for this reference (e.g., REF001)</t>
  </si>
  <si>
    <t>Full human-readable citation</t>
  </si>
  <si>
    <t>DOI URL (must start with https://doi.org/)</t>
  </si>
  <si>
    <t>Smith, R. S., et al. (2021). Coupling the U.K. Earth System model...</t>
  </si>
  <si>
    <t>https://doi.org/10.1029/2021MS002520</t>
  </si>
  <si>
    <t>Séférian et al., 2019. Evaluation of CNRM Earth-System model, CNRM-ESM2-1 : role of Earth system processes in present-day and future climate, Journal of Advances in Modeling Earth Systems</t>
  </si>
  <si>
    <t>https://doi.org/10.1029/2019MS001791</t>
  </si>
  <si>
    <t>Voldoire, A. et al., 2019. Evaluation of CMIP6 DECK Experiments With CNRM-CM6-1, Journal of Advances in Modeling Earth Systems, 11, 2177–2213</t>
  </si>
  <si>
    <t>https://doi.org/10.1029/2019MS001683</t>
  </si>
  <si>
    <t>REF003</t>
  </si>
  <si>
    <r>
      <rPr>
        <sz val="12"/>
        <rFont val="Times New Roman"/>
        <family val="1"/>
      </rPr>
      <t xml:space="preserve">Bossert et al, in rev, CNRM-ESM2-2: development and evaluation of an updated version of the CNRM-CERFACS Earth System Model. </t>
    </r>
    <r>
      <rPr>
        <i/>
        <sz val="12"/>
        <rFont val="Times New Roman"/>
        <family val="1"/>
      </rPr>
      <t xml:space="preserve"> ESS Open Archive .</t>
    </r>
    <r>
      <rPr>
        <sz val="12"/>
        <rFont val="Times New Roman"/>
        <family val="1"/>
      </rPr>
      <t xml:space="preserve"> October 06, 2025</t>
    </r>
  </si>
  <si>
    <t>DOI: 10.22541/essoar.175977424.42948487/v1</t>
  </si>
  <si>
    <t>TACTIC aerosol scheme and REPROBUS chemistry scheme : Michou et al, 2020. Presentâ€ Day and Historical Aerosol and Ozone Characteristics in CNRM CMIP6 Simulations, Journal of Advances in Modeling Earth Systems, https://doi.org/10.1029/2019MS001816</t>
  </si>
  <si>
    <t>https://doi.org/10.1029/2019MS001816</t>
  </si>
  <si>
    <t>Roehrig, R., Beau, I., Saint-Martin, D., Alias, A., Decharme, B., Guérémy, J.-F., et al. (2020). The CNRM global atmosphere model ARPEGE-Climat 6.3: Description and evaluation. Journal of Advances in Modeling Earth Systems, 12, e2020MS002075. https://doi.org/10.1029/2020MS002075</t>
  </si>
  <si>
    <t>https://doi.org/10.1029/2020MS002075</t>
  </si>
  <si>
    <t>REF006</t>
  </si>
  <si>
    <r>
      <rPr>
        <b/>
        <i/>
        <u/>
        <sz val="10"/>
        <color rgb="FF0000EE"/>
        <rFont val="Times New Roman"/>
        <family val="1"/>
      </rPr>
      <t>ISBA-CTRIP</t>
    </r>
    <r>
      <rPr>
        <b/>
        <i/>
        <sz val="10"/>
        <rFont val="Times New Roman"/>
        <family val="1"/>
      </rPr>
      <t xml:space="preserve"> Land Surface Physical Processes</t>
    </r>
    <r>
      <rPr>
        <b/>
        <sz val="10"/>
        <rFont val="Times New Roman"/>
        <family val="1"/>
      </rPr>
      <t xml:space="preserve"> </t>
    </r>
    <r>
      <rPr>
        <sz val="10"/>
        <rFont val="Times New Roman"/>
        <family val="1"/>
      </rPr>
      <t>: Decharme B., Delire C., Minvielle M., Colin J., Vergnes J.-P., Alias A., Saint-Martin D., Séférian R., Sénési S., Voldoire A., (2019). Recent changes in the ISBA-CTRIP land surface system for use in the CNRM-CM6 climate model and in global offline hydrol</t>
    </r>
    <r>
      <rPr>
        <sz val="10"/>
        <rFont val="Times New Roman"/>
        <family val="1"/>
      </rPr>
      <t xml:space="preserve">ogical applications. Journal of Advances in Modeling Earth Systems, 11. </t>
    </r>
    <r>
      <rPr>
        <u/>
        <sz val="10"/>
        <color rgb="FF0000EE"/>
        <rFont val="Times New Roman"/>
        <family val="1"/>
      </rPr>
      <t>https://doi.org/10.1029/2018MS001545</t>
    </r>
  </si>
  <si>
    <t>https://doi.org/10.1029/2018MS001545</t>
  </si>
  <si>
    <t>REF007</t>
  </si>
  <si>
    <r>
      <rPr>
        <b/>
        <i/>
        <u/>
        <sz val="10"/>
        <color rgb="FF0000EE"/>
        <rFont val="Times New Roman"/>
        <family val="1"/>
      </rPr>
      <t>ISBA-CTRIP</t>
    </r>
    <r>
      <rPr>
        <b/>
        <i/>
        <sz val="10"/>
        <rFont val="Times New Roman"/>
        <family val="1"/>
      </rPr>
      <t xml:space="preserve"> Land Surface Biogeochemical Processes</t>
    </r>
    <r>
      <rPr>
        <b/>
        <sz val="10"/>
        <rFont val="Times New Roman"/>
        <family val="1"/>
      </rPr>
      <t xml:space="preserve"> </t>
    </r>
    <r>
      <rPr>
        <sz val="10"/>
        <rFont val="Times New Roman"/>
        <family val="1"/>
      </rPr>
      <t>: Delire C., Séférian R., Decharme B., Alkama R., Calvet J.C., Carrer D., Gibelin A.L., Joetzjer E., Morel X., Rocher M., Tzanos D., 2020. The global land carbon cycle simulated with ISBA-CTRIP : improvements over the last decade, Journal of Advances in Mo</t>
    </r>
    <r>
      <rPr>
        <sz val="10"/>
        <rFont val="Times New Roman"/>
        <family val="1"/>
      </rPr>
      <t xml:space="preserve">deling Earth Systems, </t>
    </r>
    <r>
      <rPr>
        <u/>
        <sz val="10"/>
        <color rgb="FF0000EE"/>
        <rFont val="Times New Roman"/>
        <family val="1"/>
      </rPr>
      <t>https://doi.org/10.1029/2019MS001886</t>
    </r>
  </si>
  <si>
    <t>https://doi.org/10.1029/2019MS001886</t>
  </si>
  <si>
    <t>REF008</t>
  </si>
  <si>
    <r>
      <rPr>
        <b/>
        <i/>
        <u/>
        <sz val="10"/>
        <color rgb="FF0000EE"/>
        <rFont val="Times New Roman"/>
        <family val="1"/>
      </rPr>
      <t>FLake</t>
    </r>
    <r>
      <rPr>
        <b/>
        <i/>
        <sz val="10"/>
        <rFont val="Times New Roman"/>
        <family val="1"/>
      </rPr>
      <t xml:space="preserve"> lake scheme</t>
    </r>
    <r>
      <rPr>
        <b/>
        <sz val="10"/>
        <rFont val="Times New Roman"/>
        <family val="1"/>
      </rPr>
      <t xml:space="preserve"> </t>
    </r>
    <r>
      <rPr>
        <sz val="10"/>
        <rFont val="Times New Roman"/>
        <family val="1"/>
      </rPr>
      <t xml:space="preserve">: Le Moigne et al, 2016. Impact of lake surface temperatures simulated by the FLake scheme in the CNRM-CM5 climate model, Tellus A: Dynamic Meteorology and Oceanography, 68:1, </t>
    </r>
    <r>
      <rPr>
        <u/>
        <sz val="10"/>
        <color rgb="FF0000EE"/>
        <rFont val="Times New Roman"/>
        <family val="1"/>
      </rPr>
      <t>DOI: 10.3402/tellusa.v68.31274</t>
    </r>
  </si>
  <si>
    <t>DOI: 10.3402/tellusa.v68.31274</t>
  </si>
  <si>
    <t>REF009</t>
  </si>
  <si>
    <t>SURFEX-OASIS coupling interface : Voldoire et al, 2017. SURFEX v8.0 interface with OASIS3-MCT to couple atmosphere with hydrology, ocean, waves and sea-ice models, from coastal to global scales, Geosci. Model Dev., 10, 4207-4227, https://doi.org/10.5194/gmd-10-4207-2017</t>
  </si>
  <si>
    <t>https://doi.org/10.5194/gmd-10-4207-2017</t>
  </si>
  <si>
    <t>REF010</t>
  </si>
  <si>
    <t>Bock, J., Michou, M., Nabat, P., Abe, M., Mulcahy, J. P., Olivié, D. J. L., Schwinger, J., Suntharalingam, P., Tjiputra, J., van Hulten, M., Watanabe, M., Yool, A., and Séférian, R. : Evaluation of ocean dimethylsulfide concentration and emission in CMIP6 models, Biogeosciences, 18, 3823–3860, https://doi.org/10.5194/bg-18-3823-2021, 2021.</t>
  </si>
  <si>
    <t>https://doi.org/10.5194/bg-18-3823-2021</t>
  </si>
  <si>
    <t>REF011</t>
  </si>
  <si>
    <t>Berthet, S., Jouanno, J., Séférian, R., Gehlen, M., and Llovel, W. : How does the phytoplankton–light feedback affect the marine N2O inventory ?, Earth Syst. Dynam., 14, 399–412, https://doi.org/10.5194/esd-14-399-2023, 2023.</t>
  </si>
  <si>
    <t>https://doi.org/10.5194/esd-14-399-2023</t>
  </si>
  <si>
    <t>7.1 Component CV</t>
  </si>
  <si>
    <t>Component types for dynamic_components, prescribed_components, omitted_components, embedded_in, coupled_with</t>
  </si>
  <si>
    <t>The behaviour and evolution of aerosols suspended in the atmosphere.</t>
  </si>
  <si>
    <t>Dynamical, thermodynamical, and physical processes in the atmosphere.</t>
  </si>
  <si>
    <t>The behaviour and evolution of the chemical composition of the atmosphere.</t>
  </si>
  <si>
    <t>Water, energy, and mass fluxes between the surface and the atmosphere.</t>
  </si>
  <si>
    <t>Frozen freshwater in glaciers, ice-caps, ice-sheets, and ice-shelves.</t>
  </si>
  <si>
    <t>Dynamical, thermodynamical, and physical processes in the ocean.</t>
  </si>
  <si>
    <t>Biological, geological, and chemical processes in the ocean.</t>
  </si>
  <si>
    <t>Frozen seawater that floats on the ocean surface.</t>
  </si>
  <si>
    <t>7.2 Calendar CV</t>
  </si>
  <si>
    <t>Calendar types for the top-level model calendar property</t>
  </si>
  <si>
    <t>Mixed Gregorian/Julian calendar (Gregorian after 1582-10-15, Julian before)</t>
  </si>
  <si>
    <t>proleptic_gregorian</t>
  </si>
  <si>
    <t>Gregorian rules extended to dates before 1582-10-15</t>
  </si>
  <si>
    <t>julian</t>
  </si>
  <si>
    <t>Julian calendar (leap year if divisible by 4, even if divisible by 100)</t>
  </si>
  <si>
    <t>360_day</t>
  </si>
  <si>
    <t>All years are 360 days, divided into 30 day months</t>
  </si>
  <si>
    <t>365_day</t>
  </si>
  <si>
    <t>No leap years, all years are 365 days</t>
  </si>
  <si>
    <t>366_day</t>
  </si>
  <si>
    <t>All years are leap years (366 days)</t>
  </si>
  <si>
    <t>No calendar</t>
  </si>
  <si>
    <t>7.3 Grid CV</t>
  </si>
  <si>
    <t>Horizontal grid types for the horizontal grid 'grid' property</t>
  </si>
  <si>
    <t>Rectilinear lat-lon grid with evenly spaced points</t>
  </si>
  <si>
    <t>regular_gaussian</t>
  </si>
  <si>
    <t>Gaussian grid with constant longitudinal points per latitude</t>
  </si>
  <si>
    <t>reduced_gaussian</t>
  </si>
  <si>
    <t>Gaussian grid with reduced points as poles are approached</t>
  </si>
  <si>
    <t>spectral_gaussian</t>
  </si>
  <si>
    <t>Transformation from spectral space to Gaussian grid</t>
  </si>
  <si>
    <t>spectral_reduced_gaussian</t>
  </si>
  <si>
    <t>Transformation from spectral space to reduced Gaussian</t>
  </si>
  <si>
    <t>Spectral Gaussian, smallest wavelength = 2 grid points</t>
  </si>
  <si>
    <t>quadratic_spectral_gaussian</t>
  </si>
  <si>
    <t>Spectral Gaussian, smallest wavelength = 3 grid points</t>
  </si>
  <si>
    <t>cubic_octahedral_spectral_reduced_gaussian</t>
  </si>
  <si>
    <t>Spectral reduced Gaussian, smallest wavelength = 4 grid points, octahedron-based</t>
  </si>
  <si>
    <t>rotated_pole</t>
  </si>
  <si>
    <t>Regular lat-lon grid rotated to different north pole location</t>
  </si>
  <si>
    <t>stretched</t>
  </si>
  <si>
    <t>Higher resolution concentrated over area of interest</t>
  </si>
  <si>
    <t>displaced_pole</t>
  </si>
  <si>
    <t>Ocean grid with non-antipodean poles, northern pole over land</t>
  </si>
  <si>
    <t>Global curvilinear ocean grid with 1 southern + 2 northern poles over land</t>
  </si>
  <si>
    <t>cubed_sphere</t>
  </si>
  <si>
    <t>Six coupled 'logically square' regions</t>
  </si>
  <si>
    <t>icosahedral_geodesic</t>
  </si>
  <si>
    <t>Triangular tiles based on icosahedron subdivision</t>
  </si>
  <si>
    <t>icosahedral_geodesic_dual</t>
  </si>
  <si>
    <t>Hexagonal/pentagonal tiles, dual of icosahedral_geodesic</t>
  </si>
  <si>
    <t>yin_yang</t>
  </si>
  <si>
    <t>Two overlapping grid patches</t>
  </si>
  <si>
    <t>unstructured_triangular</t>
  </si>
  <si>
    <t>Unstructured mesh of triangles only</t>
  </si>
  <si>
    <t>unstructured_polygonal</t>
  </si>
  <si>
    <t>Unstructured mesh of arbitrary polygons</t>
  </si>
  <si>
    <t>plane_projection</t>
  </si>
  <si>
    <t>Transformation to represent spherical surface on a plane</t>
  </si>
  <si>
    <t>No horizontal grid</t>
  </si>
  <si>
    <t>7.4 Grid Mapping CV</t>
  </si>
  <si>
    <t>Horizontal grid mappings (coordinate reference systems) - CF grid mapping names</t>
  </si>
  <si>
    <t>albers_conical_equal_area</t>
  </si>
  <si>
    <t>azimuthal_equidistant</t>
  </si>
  <si>
    <t>geostationary</t>
  </si>
  <si>
    <t>lambert_azimuthal_equal_area</t>
  </si>
  <si>
    <t>lambert_conformal_conic</t>
  </si>
  <si>
    <t>lambert_cylindrical_equal_area</t>
  </si>
  <si>
    <t>orthographic</t>
  </si>
  <si>
    <t>polar_stereographic</t>
  </si>
  <si>
    <t>rotated_latitude_longitude</t>
  </si>
  <si>
    <t>sinusoidal</t>
  </si>
  <si>
    <t>stereographic</t>
  </si>
  <si>
    <t>transverse_mercator</t>
  </si>
  <si>
    <t>vertical_perspective</t>
  </si>
  <si>
    <t>7.5 Region CV</t>
  </si>
  <si>
    <t>Geographical regions for horizontal grid 'region' property</t>
  </si>
  <si>
    <t>antarctica</t>
  </si>
  <si>
    <t>Antarctica (CF standardised region)</t>
  </si>
  <si>
    <t>Whole Earth's surface (CF standardised region)</t>
  </si>
  <si>
    <t>greenland</t>
  </si>
  <si>
    <t>Greenland (CF standardised region)</t>
  </si>
  <si>
    <t>limited_area</t>
  </si>
  <si>
    <t>Any contiguous subregion of Earth's surface</t>
  </si>
  <si>
    <t>7.6 Temporal Refinement CV</t>
  </si>
  <si>
    <t>How grid cell distribution varies with time</t>
  </si>
  <si>
    <t>Grid is held fixed, constant number of grid points</t>
  </si>
  <si>
    <t>dynamically_stretched</t>
  </si>
  <si>
    <t>Constant grid points, but can be dynamically relocated</t>
  </si>
  <si>
    <t>adaptive</t>
  </si>
  <si>
    <t>Variable number of grid points, refined/coarsened as needed</t>
  </si>
  <si>
    <t>7.7 Arrangement CV</t>
  </si>
  <si>
    <t>Relative locations of mass- and velocity-related quantities on grid (Arakawa grids)</t>
  </si>
  <si>
    <t>Mass and velocity at same location on each cell</t>
  </si>
  <si>
    <t>arakawa_b</t>
  </si>
  <si>
    <t>Velocity at corners of mass cells</t>
  </si>
  <si>
    <t>Velocity at centres of mass cell edges, perpendicular to edge</t>
  </si>
  <si>
    <t>arakawa_d</t>
  </si>
  <si>
    <t>Velocity at centres of mass cell edges, tangential to edge</t>
  </si>
  <si>
    <t>arakawa_e</t>
  </si>
  <si>
    <t>Mass at centres of velocity cell edges</t>
  </si>
  <si>
    <t>7.8 Cell Variable Type CV</t>
  </si>
  <si>
    <t>Types of physical variables carried on horizontal grid cells</t>
  </si>
  <si>
    <t>Mass-related variables (thermodynamic and hydrodynamic quantities)</t>
  </si>
  <si>
    <t>velocity_x</t>
  </si>
  <si>
    <t>X component of velocity vector (longitude for spherical polar)</t>
  </si>
  <si>
    <t>velocity_y</t>
  </si>
  <si>
    <t>Y component of velocity vector (latitude for spherical polar)</t>
  </si>
  <si>
    <t>7.9 Mesh Location CV</t>
  </si>
  <si>
    <t>Unstructured grid mesh locations for physical variables</t>
  </si>
  <si>
    <t>node</t>
  </si>
  <si>
    <t>Zero-dimensional point in space (vertex)</t>
  </si>
  <si>
    <t>edge</t>
  </si>
  <si>
    <t>One-dimensional line connecting two nodes (side)</t>
  </si>
  <si>
    <t>face</t>
  </si>
  <si>
    <t>Two-dimensional surface enclosed by edges (polygon)</t>
  </si>
  <si>
    <t>7.10 Horizontal Units CV</t>
  </si>
  <si>
    <t>Physical units for resolution_x and resolution_y</t>
  </si>
  <si>
    <t>km</t>
  </si>
  <si>
    <t>kilometre (unit for length)</t>
  </si>
  <si>
    <t>degrees (unit for angular measure)</t>
  </si>
  <si>
    <t>7.11 Truncation Method CV</t>
  </si>
  <si>
    <t>Spherical harmonic truncation methods for spectral models</t>
  </si>
  <si>
    <t>Triangular truncation</t>
  </si>
  <si>
    <t>rhomboidal</t>
  </si>
  <si>
    <t>Rhomboidal truncation</t>
  </si>
  <si>
    <t>7.12 Nominal Resolution CV</t>
  </si>
  <si>
    <t>Nominal resolution based on mean_resolution_km value</t>
  </si>
  <si>
    <t>mean_resolution_km Range (R)</t>
  </si>
  <si>
    <t>0.036 ≤ R &lt; 0.072</t>
  </si>
  <si>
    <t>0.05 km</t>
  </si>
  <si>
    <t>0.072 ≤ R &lt; 0.16</t>
  </si>
  <si>
    <t>0.1 km</t>
  </si>
  <si>
    <t>0.16 ≤ R &lt; 0.36</t>
  </si>
  <si>
    <t>0.25 km</t>
  </si>
  <si>
    <t>0.36 ≤ R &lt; 0.72</t>
  </si>
  <si>
    <t>0.5 km</t>
  </si>
  <si>
    <t>0.72 ≤ R &lt; 1.6</t>
  </si>
  <si>
    <t>1 km</t>
  </si>
  <si>
    <t>1.6 ≤ R &lt; 3.6</t>
  </si>
  <si>
    <t>2.5 km</t>
  </si>
  <si>
    <t>3.6 ≤ R &lt; 7.2</t>
  </si>
  <si>
    <t>5 km</t>
  </si>
  <si>
    <t>7.2 ≤ R &lt; 16</t>
  </si>
  <si>
    <t>10 km</t>
  </si>
  <si>
    <t>16 ≤ R &lt; 36</t>
  </si>
  <si>
    <t>25 km</t>
  </si>
  <si>
    <t>36 ≤ R &lt; 72</t>
  </si>
  <si>
    <t>50 km</t>
  </si>
  <si>
    <t>72 ≤ R &lt; 160</t>
  </si>
  <si>
    <t>160 ≤ R &lt; 360</t>
  </si>
  <si>
    <t>250 km</t>
  </si>
  <si>
    <t>360 ≤ R &lt; 720</t>
  </si>
  <si>
    <t>500 km</t>
  </si>
  <si>
    <t>720 ≤ R &lt; 1600</t>
  </si>
  <si>
    <t>1000 km</t>
  </si>
  <si>
    <t>1600 ≤ R &lt; 3600</t>
  </si>
  <si>
    <t>2500 km</t>
  </si>
  <si>
    <t>3600 ≤ R &lt; 7200</t>
  </si>
  <si>
    <t>5000 km</t>
  </si>
  <si>
    <t>7200 ≤ R &lt; 16000</t>
  </si>
  <si>
    <t>10000 km</t>
  </si>
  <si>
    <t>7.13 Coordinate CV</t>
  </si>
  <si>
    <t>Vertical grid coordinate types (CF standard names except where noted)</t>
  </si>
  <si>
    <t>(Not a standard name) No vertical dimension</t>
  </si>
  <si>
    <t>Vertical distance above the earth's surface</t>
  </si>
  <si>
    <t>geopotential_height</t>
  </si>
  <si>
    <t>Geopotential divided by standard acceleration due to gravity</t>
  </si>
  <si>
    <t>air_pressure</t>
  </si>
  <si>
    <t>Pressure in the medium of air</t>
  </si>
  <si>
    <t>air_potential_temperature</t>
  </si>
  <si>
    <t>Temperature of air parcel if moved dry adiabatically to standard pressure</t>
  </si>
  <si>
    <t>atmosphere_ln_pressure_coordinate</t>
  </si>
  <si>
    <t>Parametric atmosphere natural log pressure coordinate</t>
  </si>
  <si>
    <t>atmosphere_sigma_coordinate</t>
  </si>
  <si>
    <t>Parametric atmosphere sigma coordinate</t>
  </si>
  <si>
    <t>Parametric atmosphere hybrid sigma pressure coordinate</t>
  </si>
  <si>
    <t>Parametric atmosphere hybrid height coordinate</t>
  </si>
  <si>
    <t>atmosphere_sleve_coordinate</t>
  </si>
  <si>
    <t>Parametric atmosphere smooth vertical level coordinate</t>
  </si>
  <si>
    <t>Vertical distance below the earth's surface</t>
  </si>
  <si>
    <t>sea_water_pressure</t>
  </si>
  <si>
    <t>Pressure in the medium of sea water</t>
  </si>
  <si>
    <t>sea_water_potential_temperature</t>
  </si>
  <si>
    <t>Temperature of sea water if moved adiabatically to sea level pressure</t>
  </si>
  <si>
    <t>ocean_sigma_coordinate</t>
  </si>
  <si>
    <t>Parametric ocean sigma coordinate</t>
  </si>
  <si>
    <t>ocean_s_coordinate</t>
  </si>
  <si>
    <t>Parametric ocean s-coordinate</t>
  </si>
  <si>
    <t>ocean_s_coordinate_g1</t>
  </si>
  <si>
    <t>Parametric ocean s-coordinate, generic form 1</t>
  </si>
  <si>
    <t>ocean_s_coordinate_g2</t>
  </si>
  <si>
    <t>Parametric ocean s-coordinate, generic form 2</t>
  </si>
  <si>
    <t>Parametric ocean sigma over z coordinate</t>
  </si>
  <si>
    <t>ocean_double_sigma_coordinate</t>
  </si>
  <si>
    <t>Parametric ocean double sigma coordinate</t>
  </si>
  <si>
    <t>land_ice_sigma_coordinate</t>
  </si>
  <si>
    <t>Land ice sigma coordinate</t>
  </si>
  <si>
    <t>z*</t>
  </si>
  <si>
    <t>(Not a standard name) z* coordinate of Adcroft and Campin (2004)</t>
  </si>
  <si>
    <t>7.14 Vertical Units CV</t>
  </si>
  <si>
    <t>Physical units for bottom_layer_thickness, top_layer_thickness, top_of_model</t>
  </si>
  <si>
    <t>metre (unit for length)</t>
  </si>
  <si>
    <t>pascal (unit for pressure)</t>
  </si>
  <si>
    <t>K</t>
  </si>
  <si>
    <t>kelvin (unit for 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</si>
</sst>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scheme val="minor"/>
    </font>
    <font>
      <i/>
      <sz val="11"/>
      <color rgb="FF7F7F7F"/>
      <name val="Calibri"/>
      <family val="2"/>
      <scheme val="minor"/>
    </font>
    <font>
      <b/>
      <sz val="16"/>
      <color indexed="65"/>
      <name val="Calibri"/>
      <family val="2"/>
    </font>
    <font>
      <b/>
      <sz val="12"/>
      <color rgb="FF1F4E78"/>
      <name val="Calibri"/>
      <family val="2"/>
    </font>
    <font>
      <b/>
      <sz val="11"/>
      <color indexed="65"/>
      <name val="Calibri"/>
      <family val="2"/>
    </font>
    <font>
      <b/>
      <sz val="11"/>
      <name val="Calibri"/>
      <family val="2"/>
    </font>
    <font>
      <i/>
      <sz val="11"/>
      <color indexed="30"/>
      <name val="Calibri"/>
      <family val="2"/>
    </font>
    <font>
      <sz val="10"/>
      <name val="Times New Roman"/>
      <family val="1"/>
    </font>
    <font>
      <b/>
      <sz val="11"/>
      <color rgb="FF1F4E78"/>
      <name val="Calibri"/>
      <family val="2"/>
    </font>
    <font>
      <i/>
      <sz val="10"/>
      <color indexed="30"/>
      <name val="Calibri"/>
      <family val="2"/>
    </font>
    <font>
      <b/>
      <sz val="14"/>
      <color indexed="65"/>
      <name val="Calibri"/>
      <family val="2"/>
    </font>
    <font>
      <i/>
      <sz val="10"/>
      <name val="Calibri"/>
      <family val="2"/>
    </font>
    <font>
      <sz val="10"/>
      <name val="Calibri"/>
      <family val="2"/>
    </font>
    <font>
      <b/>
      <sz val="11"/>
      <name val="Calibri"/>
      <family val="2"/>
    </font>
    <font>
      <i/>
      <sz val="9"/>
      <name val="Calibri"/>
      <family val="2"/>
    </font>
    <font>
      <sz val="9"/>
      <name val="Calibri"/>
      <family val="2"/>
    </font>
    <font>
      <b/>
      <sz val="10"/>
      <name val="Calibri"/>
      <family val="2"/>
    </font>
    <font>
      <b/>
      <sz val="11"/>
      <color rgb="FF006100"/>
      <name val="Calibri"/>
      <family val="2"/>
    </font>
    <font>
      <b/>
      <sz val="11"/>
      <color rgb="FF9C0006"/>
      <name val="Calibri"/>
      <family val="2"/>
    </font>
    <font>
      <b/>
      <sz val="11"/>
      <color rgb="FF9C5700"/>
      <name val="Calibri"/>
      <family val="2"/>
    </font>
    <font>
      <b/>
      <sz val="11"/>
      <color indexed="65"/>
      <name val="Calibri"/>
      <family val="2"/>
    </font>
    <font>
      <i/>
      <sz val="8"/>
      <color rgb="FF666666"/>
      <name val="Calibri"/>
      <family val="2"/>
    </font>
    <font>
      <b/>
      <sz val="8"/>
      <color rgb="FF006100"/>
      <name val="Calibri"/>
      <family val="2"/>
    </font>
    <font>
      <u/>
      <sz val="10"/>
      <color theme="10"/>
      <name val="Calibri"/>
      <family val="2"/>
    </font>
    <font>
      <u/>
      <sz val="12"/>
      <color theme="10"/>
      <name val="Calibri"/>
      <family val="2"/>
    </font>
    <font>
      <b/>
      <sz val="9"/>
      <color indexed="65"/>
      <name val="Calibri"/>
      <family val="2"/>
    </font>
    <font>
      <i/>
      <sz val="8"/>
      <name val="Calibri"/>
      <family val="2"/>
    </font>
    <font>
      <u/>
      <sz val="11"/>
      <color theme="10"/>
      <name val="Calibri"/>
      <family val="2"/>
    </font>
    <font>
      <sz val="12"/>
      <name val="Times New Roman"/>
      <family val="1"/>
    </font>
    <font>
      <sz val="10"/>
      <color theme="1"/>
      <name val="Times New Roman"/>
      <family val="1"/>
    </font>
    <font>
      <b/>
      <sz val="14"/>
      <name val="Calibri"/>
      <family val="2"/>
    </font>
    <font>
      <i/>
      <sz val="11"/>
      <name val="Calibri"/>
      <family val="2"/>
    </font>
    <font>
      <i/>
      <sz val="12"/>
      <name val="Times New Roman"/>
      <family val="1"/>
    </font>
    <font>
      <b/>
      <i/>
      <u/>
      <sz val="10"/>
      <color rgb="FF0000EE"/>
      <name val="Times New Roman"/>
      <family val="1"/>
    </font>
    <font>
      <b/>
      <i/>
      <sz val="10"/>
      <name val="Times New Roman"/>
      <family val="1"/>
    </font>
    <font>
      <b/>
      <sz val="10"/>
      <name val="Times New Roman"/>
      <family val="1"/>
    </font>
    <font>
      <u/>
      <sz val="10"/>
      <color rgb="FF0000EE"/>
      <name val="Times New Roman"/>
      <family val="1"/>
    </font>
  </fonts>
  <fills count="20">
    <fill>
      <patternFill patternType="none"/>
    </fill>
    <fill>
      <patternFill patternType="gray125"/>
    </fill>
    <fill>
      <patternFill patternType="none"/>
    </fill>
    <fill>
      <patternFill patternType="solid">
        <fgColor rgb="FF1F4E78"/>
        <bgColor rgb="FF1F4E78"/>
      </patternFill>
    </fill>
    <fill>
      <patternFill patternType="solid">
        <fgColor rgb="FFFFE6E6"/>
        <bgColor rgb="FFFFE6E6"/>
      </patternFill>
    </fill>
    <fill>
      <patternFill patternType="solid">
        <fgColor rgb="FFFFF2CC"/>
        <bgColor rgb="FFFFF2CC"/>
      </patternFill>
    </fill>
    <fill>
      <patternFill patternType="solid">
        <fgColor rgb="FFE6F2FF"/>
        <bgColor rgb="FFE6F2FF"/>
      </patternFill>
    </fill>
    <fill>
      <patternFill patternType="solid">
        <fgColor rgb="FF2E75B5"/>
        <bgColor rgb="FF2E75B5"/>
      </patternFill>
    </fill>
    <fill>
      <patternFill patternType="solid">
        <fgColor rgb="FF4472C4"/>
        <bgColor rgb="FF4472C4"/>
      </patternFill>
    </fill>
    <fill>
      <patternFill patternType="solid">
        <fgColor rgb="FFE7E6E6"/>
        <bgColor rgb="FFE7E6E6"/>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70AD47"/>
        <bgColor rgb="FF70AD47"/>
      </patternFill>
    </fill>
    <fill>
      <patternFill patternType="solid">
        <fgColor rgb="FFFFC000"/>
        <bgColor rgb="FFFFC000"/>
      </patternFill>
    </fill>
    <fill>
      <patternFill patternType="solid">
        <fgColor rgb="FFC00000"/>
        <bgColor rgb="FFC00000"/>
      </patternFill>
    </fill>
    <fill>
      <patternFill patternType="solid">
        <fgColor rgb="FFE2EFDA"/>
        <bgColor rgb="FFE2EFDA"/>
      </patternFill>
    </fill>
    <fill>
      <patternFill patternType="solid">
        <fgColor rgb="FFFCE4D6"/>
        <bgColor rgb="FFFCE4D6"/>
      </patternFill>
    </fill>
    <fill>
      <patternFill patternType="solid">
        <fgColor rgb="FFFFF9E6"/>
        <bgColor rgb="FFFFF9E6"/>
      </patternFill>
    </fill>
    <fill>
      <patternFill patternType="solid">
        <fgColor rgb="FFD9E1F2"/>
        <bgColor rgb="FFD9E1F2"/>
      </patternFill>
    </fill>
  </fills>
  <borders count="1">
    <border>
      <left/>
      <right/>
      <top/>
      <bottom/>
      <diagonal/>
    </border>
  </borders>
  <cellStyleXfs count="2">
    <xf numFmtId="0" fontId="0" fillId="0" borderId="0"/>
    <xf numFmtId="0" fontId="1" fillId="2" borderId="0" applyNumberFormat="0" applyFill="0" applyBorder="0"/>
  </cellStyleXfs>
  <cellXfs count="58">
    <xf numFmtId="0" fontId="0" fillId="0" borderId="0" xfId="0"/>
    <xf numFmtId="0" fontId="3" fillId="0" borderId="0" xfId="0" applyFont="1"/>
    <xf numFmtId="0" fontId="4" fillId="3" borderId="0" xfId="0" applyFont="1" applyFill="1" applyAlignment="1">
      <alignment horizontal="center" vertical="center" wrapText="1"/>
    </xf>
    <xf numFmtId="0" fontId="5" fillId="4" borderId="0" xfId="0" applyFont="1" applyFill="1"/>
    <xf numFmtId="0" fontId="6" fillId="5" borderId="0" xfId="0" applyFont="1" applyFill="1"/>
    <xf numFmtId="0" fontId="0" fillId="6" borderId="0" xfId="0" applyFill="1"/>
    <xf numFmtId="0" fontId="7" fillId="0" borderId="0" xfId="0" applyFont="1" applyAlignment="1">
      <alignment horizontal="left" wrapText="1"/>
    </xf>
    <xf numFmtId="0" fontId="8" fillId="0" borderId="0" xfId="0" applyFont="1"/>
    <xf numFmtId="0" fontId="4" fillId="8" borderId="0" xfId="0" applyFont="1" applyFill="1" applyAlignment="1">
      <alignment horizontal="center" vertical="center" wrapText="1"/>
    </xf>
    <xf numFmtId="0" fontId="12" fillId="0" borderId="0" xfId="0" applyFont="1"/>
    <xf numFmtId="0" fontId="13" fillId="0" borderId="0" xfId="0" applyFont="1" applyAlignment="1">
      <alignment horizontal="center" vertical="center"/>
    </xf>
    <xf numFmtId="0" fontId="14" fillId="0" borderId="0" xfId="0" applyFont="1" applyAlignment="1">
      <alignment wrapText="1"/>
    </xf>
    <xf numFmtId="0" fontId="15" fillId="0" borderId="0" xfId="0" applyFont="1" applyAlignment="1">
      <alignment horizontal="center"/>
    </xf>
    <xf numFmtId="0" fontId="15" fillId="0" borderId="0" xfId="0" applyFont="1" applyAlignment="1">
      <alignment wrapText="1"/>
    </xf>
    <xf numFmtId="0" fontId="16" fillId="0" borderId="0" xfId="0" applyFont="1"/>
    <xf numFmtId="0" fontId="17" fillId="10" borderId="0" xfId="0" applyFont="1" applyFill="1"/>
    <xf numFmtId="0" fontId="18" fillId="11" borderId="0" xfId="0" applyFont="1" applyFill="1"/>
    <xf numFmtId="0" fontId="19" fillId="12" borderId="0" xfId="0" applyFont="1" applyFill="1"/>
    <xf numFmtId="0" fontId="20" fillId="7" borderId="0" xfId="0" applyFont="1" applyFill="1"/>
    <xf numFmtId="0" fontId="20" fillId="13" borderId="0" xfId="0" applyFont="1" applyFill="1" applyAlignment="1">
      <alignment horizontal="center"/>
    </xf>
    <xf numFmtId="0" fontId="20" fillId="14" borderId="0" xfId="0" applyFont="1" applyFill="1" applyAlignment="1">
      <alignment horizontal="center"/>
    </xf>
    <xf numFmtId="0" fontId="20" fillId="15" borderId="0" xfId="0" applyFont="1" applyFill="1" applyAlignment="1">
      <alignment horizontal="center"/>
    </xf>
    <xf numFmtId="0" fontId="5" fillId="9" borderId="0" xfId="0" applyFont="1" applyFill="1"/>
    <xf numFmtId="0" fontId="0" fillId="0" borderId="0" xfId="0" applyAlignment="1">
      <alignment horizontal="center"/>
    </xf>
    <xf numFmtId="0" fontId="4" fillId="15" borderId="0" xfId="0" applyFont="1" applyFill="1"/>
    <xf numFmtId="0" fontId="21" fillId="0" borderId="0" xfId="0" applyFont="1"/>
    <xf numFmtId="0" fontId="22" fillId="10" borderId="0" xfId="0" applyFont="1" applyFill="1"/>
    <xf numFmtId="0" fontId="4" fillId="13" borderId="0" xfId="0" applyFont="1" applyFill="1"/>
    <xf numFmtId="0" fontId="0" fillId="16" borderId="0" xfId="0" applyFill="1"/>
    <xf numFmtId="0" fontId="5" fillId="10" borderId="0" xfId="0" applyFont="1" applyFill="1"/>
    <xf numFmtId="0" fontId="4" fillId="14" borderId="0" xfId="0" applyFont="1" applyFill="1"/>
    <xf numFmtId="0" fontId="0" fillId="5" borderId="0" xfId="0" applyFill="1"/>
    <xf numFmtId="0" fontId="0" fillId="17" borderId="0" xfId="0" applyFill="1"/>
    <xf numFmtId="0" fontId="1" fillId="0" borderId="0" xfId="1" applyFill="1" applyAlignment="1">
      <alignment wrapText="1"/>
    </xf>
    <xf numFmtId="0" fontId="14" fillId="18" borderId="0" xfId="0" applyFont="1" applyFill="1"/>
    <xf numFmtId="0" fontId="7" fillId="0" borderId="0" xfId="0" applyFont="1" applyAlignment="1">
      <alignment horizontal="left"/>
    </xf>
    <xf numFmtId="0" fontId="23" fillId="0" borderId="0" xfId="0" applyFont="1" applyAlignment="1">
      <alignment horizontal="left"/>
    </xf>
    <xf numFmtId="0" fontId="24" fillId="0" borderId="0" xfId="0" applyFont="1" applyAlignment="1">
      <alignment horizontal="left"/>
    </xf>
    <xf numFmtId="0" fontId="0" fillId="0" borderId="0" xfId="0" applyAlignment="1">
      <alignment wrapText="1"/>
    </xf>
    <xf numFmtId="0" fontId="25" fillId="3" borderId="0" xfId="0" applyFont="1" applyFill="1" applyAlignment="1">
      <alignment horizontal="center" vertical="center" wrapText="1"/>
    </xf>
    <xf numFmtId="0" fontId="26" fillId="0" borderId="0" xfId="0" applyFont="1" applyAlignment="1">
      <alignment wrapText="1"/>
    </xf>
    <xf numFmtId="0" fontId="26" fillId="18" borderId="0" xfId="0" applyFont="1" applyFill="1"/>
    <xf numFmtId="0" fontId="4" fillId="3" borderId="0" xfId="0" applyFont="1" applyFill="1" applyAlignment="1">
      <alignment horizontal="center" vertical="center"/>
    </xf>
    <xf numFmtId="0" fontId="14" fillId="0" borderId="0" xfId="0" applyFont="1"/>
    <xf numFmtId="0" fontId="27" fillId="0" borderId="0" xfId="0" applyFont="1" applyAlignment="1">
      <alignment horizontal="left"/>
    </xf>
    <xf numFmtId="0" fontId="28" fillId="0" borderId="0" xfId="0" applyFont="1" applyAlignment="1">
      <alignment horizontal="left"/>
    </xf>
    <xf numFmtId="0" fontId="29" fillId="0" borderId="0" xfId="0" applyFont="1" applyAlignment="1">
      <alignment horizontal="left"/>
    </xf>
    <xf numFmtId="0" fontId="30" fillId="0" borderId="0" xfId="0" applyFont="1"/>
    <xf numFmtId="0" fontId="31" fillId="0" borderId="0" xfId="0" applyFont="1"/>
    <xf numFmtId="0" fontId="4" fillId="7" borderId="0" xfId="0" applyFont="1" applyFill="1" applyAlignment="1">
      <alignment horizontal="center" vertical="center"/>
    </xf>
    <xf numFmtId="0" fontId="5" fillId="19" borderId="0" xfId="0" applyFont="1" applyFill="1"/>
    <xf numFmtId="0" fontId="2" fillId="3" borderId="0" xfId="0" applyFont="1" applyFill="1" applyAlignment="1">
      <alignment horizontal="center" vertical="center"/>
    </xf>
    <xf numFmtId="0" fontId="0" fillId="0" borderId="0" xfId="0"/>
    <xf numFmtId="0" fontId="9" fillId="0" borderId="0" xfId="0" applyFont="1" applyAlignment="1">
      <alignment wrapText="1"/>
    </xf>
    <xf numFmtId="0" fontId="10" fillId="7" borderId="0" xfId="0" applyFont="1" applyFill="1" applyAlignment="1">
      <alignment horizontal="center" vertical="center"/>
    </xf>
    <xf numFmtId="0" fontId="11" fillId="0" borderId="0" xfId="0" applyFont="1" applyAlignment="1">
      <alignment horizontal="center"/>
    </xf>
    <xf numFmtId="0" fontId="3" fillId="9" borderId="0" xfId="0" applyFont="1" applyFill="1" applyAlignment="1">
      <alignment horizontal="center" vertical="center"/>
    </xf>
    <xf numFmtId="0" fontId="11" fillId="0" borderId="0" xfId="0" applyFont="1"/>
  </cellXfs>
  <cellStyles count="2">
    <cellStyle name="Explanatory Text" xfId="1" builtinId="53"/>
    <cellStyle name="Normal" xfId="0" builtinId="0"/>
  </cellStyles>
  <dxfs count="3">
    <dxf>
      <font>
        <b/>
        <color rgb="FF006100"/>
      </font>
      <fill>
        <patternFill patternType="solid">
          <fgColor rgb="FFC6EFCE"/>
          <bgColor rgb="FFC6EFCE"/>
        </patternFill>
      </fill>
    </dxf>
    <dxf>
      <font>
        <b/>
        <color rgb="FF9C0006"/>
      </font>
      <fill>
        <patternFill patternType="solid">
          <fgColor rgb="FFFFC7CE"/>
          <bgColor rgb="FFFFC7CE"/>
        </patternFill>
      </fill>
    </dxf>
    <dxf>
      <font>
        <b/>
        <color rgb="FF9C57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Charlotte Pascoe (Guest)" id="{EC861D31-64EA-0B8B-8510-533251F714BE}" userId="uid-1761062678180" providerId="Teamlab"/>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7" dT="2025-10-29T17:09:35.95" personId="{EC861D31-64EA-0B8B-8510-533251F714BE}" id="{C74674D0-B78D-C671-1EE1-2DA6C73AEF9D}">
    <text xml:space="preserve">This is great! I found two typos (typing errors) and I have made a grammar suggestion.
Typo: "Bossert et al. 2026".  The year should be 2025.
Typo: "consevration". should be conservation.
Grammar: "The atmospheric is represented based on" probably should be "The atmosphere is based on" or "The representation of the atmosphere is based on"
</text>
  </threadedComment>
</ThreadedComments>
</file>

<file path=xl/threadedComments/threadedComment2.xml><?xml version="1.0" encoding="utf-8"?>
<ThreadedComments xmlns="http://schemas.microsoft.com/office/spreadsheetml/2018/threadedcomments" xmlns:x="http://schemas.openxmlformats.org/spreadsheetml/2006/main">
  <threadedComment ref="B7" dT="2025-10-29T17:37:29.03" personId="{EC861D31-64EA-0B8B-8510-533251F714BE}" id="{310946CF-8786-54C3-EADF-10C1BBB3A6C9}">
    <text xml:space="preserve">The text refers to Michou et al. 2015 and Michou et al. 2011, but this is Michou et al. 2020.
</text>
  </threadedComment>
  <threadedComment ref="B8" dT="2025-10-29T17:36:31.28" personId="{EC861D31-64EA-0B8B-8510-533251F714BE}" id="{5306D331-2B85-CBFA-E803-05130112A1CC}">
    <text xml:space="preserve">The text refers to Roehrig et al. 2019, but this is Roehrig et al. 2020.
</text>
  </threadedComment>
  <threadedComment ref="B10" dT="2025-10-29T17:38:53.14" personId="{EC861D31-64EA-0B8B-8510-533251F714BE}" id="{02D73FC4-9686-E58D-2D39-1F9EE25295C8}">
    <text xml:space="preserve">The text refers to Delire et al. 2019 but this is Delire et al. 2020.
</text>
  </threadedComment>
  <threadedComment ref="B13" dT="2025-10-29T17:42:23.40" personId="{EC861D31-64EA-0B8B-8510-533251F714BE}" id="{3FD17F4F-31FF-37DD-071F-1F619B0CF827}">
    <text xml:space="preserve">No year on this reference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hyperlink" Target="https://gitlab.in2p3.fr/pisco/pisces-gas/pisces-gas" TargetMode="External"/><Relationship Id="rId1" Type="http://schemas.openxmlformats.org/officeDocument/2006/relationships/hyperlink" Target="https://www.umr-cnrm.fr/surfex/spip.php?rubrique8"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oi.org/10.1029/2018MS001545" TargetMode="External"/><Relationship Id="rId13" Type="http://schemas.openxmlformats.org/officeDocument/2006/relationships/hyperlink" Target="https://doi.org/10.5194/bg-18-3823-2021" TargetMode="External"/><Relationship Id="rId18" Type="http://schemas.openxmlformats.org/officeDocument/2006/relationships/comments" Target="../comments2.xml"/><Relationship Id="rId3" Type="http://schemas.openxmlformats.org/officeDocument/2006/relationships/hyperlink" Target="https://doi.org/10.22541/essoar.175977424.42948487/v1" TargetMode="External"/><Relationship Id="rId7" Type="http://schemas.openxmlformats.org/officeDocument/2006/relationships/hyperlink" Target="https://doi.org/10.1029/2020MS002075" TargetMode="External"/><Relationship Id="rId12" Type="http://schemas.openxmlformats.org/officeDocument/2006/relationships/hyperlink" Target="https://doi.org/10.5194/gmd-10-4207-2017" TargetMode="External"/><Relationship Id="rId17" Type="http://schemas.openxmlformats.org/officeDocument/2006/relationships/vmlDrawing" Target="../drawings/vmlDrawing2.vml"/><Relationship Id="rId2" Type="http://schemas.openxmlformats.org/officeDocument/2006/relationships/hyperlink" Target="https://doi.org/10.1029/2019MS001683" TargetMode="External"/><Relationship Id="rId16" Type="http://schemas.openxmlformats.org/officeDocument/2006/relationships/hyperlink" Target="https://doi.org/10.5194/esd-14-399-2023" TargetMode="External"/><Relationship Id="rId1" Type="http://schemas.openxmlformats.org/officeDocument/2006/relationships/hyperlink" Target="https://doi.org/10.1029/2019MS001791" TargetMode="External"/><Relationship Id="rId6" Type="http://schemas.openxmlformats.org/officeDocument/2006/relationships/hyperlink" Target="https://doi.org/10.1029/2020MS002075" TargetMode="External"/><Relationship Id="rId11" Type="http://schemas.openxmlformats.org/officeDocument/2006/relationships/hyperlink" Target="https://doi.org/10.5194/gmd-10-4207-2017" TargetMode="External"/><Relationship Id="rId5" Type="http://schemas.openxmlformats.org/officeDocument/2006/relationships/hyperlink" Target="https://doi.org/10.1029/2019MS001816" TargetMode="External"/><Relationship Id="rId15" Type="http://schemas.openxmlformats.org/officeDocument/2006/relationships/hyperlink" Target="https://doi.org/10.5194/esd-14-399-2023" TargetMode="External"/><Relationship Id="rId10" Type="http://schemas.openxmlformats.org/officeDocument/2006/relationships/hyperlink" Target="https://doi.org/10.3402/tellusa.v68.31274" TargetMode="External"/><Relationship Id="rId19" Type="http://schemas.microsoft.com/office/2017/10/relationships/threadedComment" Target="../threadedComments/threadedComment2.xml"/><Relationship Id="rId4" Type="http://schemas.openxmlformats.org/officeDocument/2006/relationships/hyperlink" Target="https://doi.org/10.1029/2019MS001816" TargetMode="External"/><Relationship Id="rId9" Type="http://schemas.openxmlformats.org/officeDocument/2006/relationships/hyperlink" Target="https://doi.org/10.1029/2019MS001886" TargetMode="External"/><Relationship Id="rId14" Type="http://schemas.openxmlformats.org/officeDocument/2006/relationships/hyperlink" Target="https://doi.org/10.5194/bg-18-3823-20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6"/>
  <sheetViews>
    <sheetView workbookViewId="0"/>
  </sheetViews>
  <sheetFormatPr baseColWidth="10" defaultColWidth="8.83203125" defaultRowHeight="15" x14ac:dyDescent="0.2"/>
  <cols>
    <col min="1" max="1" width="100" customWidth="1"/>
  </cols>
  <sheetData>
    <row r="1" spans="1:1" x14ac:dyDescent="0.2">
      <c r="A1" s="51" t="s">
        <v>0</v>
      </c>
    </row>
    <row r="2" spans="1:1" x14ac:dyDescent="0.2">
      <c r="A2" s="52"/>
    </row>
    <row r="4" spans="1:1" ht="16" x14ac:dyDescent="0.2">
      <c r="A4" s="1" t="s">
        <v>1</v>
      </c>
    </row>
    <row r="5" spans="1:1" x14ac:dyDescent="0.2">
      <c r="A5" t="s">
        <v>2</v>
      </c>
    </row>
    <row r="6" spans="1:1" x14ac:dyDescent="0.2">
      <c r="A6" t="s">
        <v>3</v>
      </c>
    </row>
    <row r="8" spans="1:1" ht="16" x14ac:dyDescent="0.2">
      <c r="A8" s="1" t="s">
        <v>4</v>
      </c>
    </row>
    <row r="9" spans="1:1" x14ac:dyDescent="0.2">
      <c r="A9" t="s">
        <v>5</v>
      </c>
    </row>
    <row r="10" spans="1:1" x14ac:dyDescent="0.2">
      <c r="A10" t="s">
        <v>6</v>
      </c>
    </row>
    <row r="11" spans="1:1" x14ac:dyDescent="0.2">
      <c r="A11" t="s">
        <v>7</v>
      </c>
    </row>
    <row r="12" spans="1:1" x14ac:dyDescent="0.2">
      <c r="A12" t="s">
        <v>8</v>
      </c>
    </row>
    <row r="13" spans="1:1" x14ac:dyDescent="0.2">
      <c r="A13" t="s">
        <v>9</v>
      </c>
    </row>
    <row r="14" spans="1:1" x14ac:dyDescent="0.2">
      <c r="A14" t="s">
        <v>10</v>
      </c>
    </row>
    <row r="15" spans="1:1" x14ac:dyDescent="0.2">
      <c r="A15" t="s">
        <v>11</v>
      </c>
    </row>
    <row r="17" spans="1:1" x14ac:dyDescent="0.2">
      <c r="A17" t="s">
        <v>12</v>
      </c>
    </row>
    <row r="18" spans="1:1" x14ac:dyDescent="0.2">
      <c r="A18" t="s">
        <v>13</v>
      </c>
    </row>
    <row r="19" spans="1:1" x14ac:dyDescent="0.2">
      <c r="A19" t="s">
        <v>14</v>
      </c>
    </row>
    <row r="20" spans="1:1" x14ac:dyDescent="0.2">
      <c r="A20" t="s">
        <v>15</v>
      </c>
    </row>
    <row r="21" spans="1:1" x14ac:dyDescent="0.2">
      <c r="A21" t="s">
        <v>16</v>
      </c>
    </row>
    <row r="23" spans="1:1" ht="16" x14ac:dyDescent="0.2">
      <c r="A23" s="1" t="s">
        <v>17</v>
      </c>
    </row>
    <row r="24" spans="1:1" x14ac:dyDescent="0.2">
      <c r="A24" t="s">
        <v>18</v>
      </c>
    </row>
    <row r="25" spans="1:1" x14ac:dyDescent="0.2">
      <c r="A25" t="s">
        <v>19</v>
      </c>
    </row>
    <row r="27" spans="1:1" ht="16" x14ac:dyDescent="0.2">
      <c r="A27" s="1" t="s">
        <v>20</v>
      </c>
    </row>
    <row r="28" spans="1:1" x14ac:dyDescent="0.2">
      <c r="A28" t="s">
        <v>21</v>
      </c>
    </row>
    <row r="29" spans="1:1" x14ac:dyDescent="0.2">
      <c r="A29" t="s">
        <v>22</v>
      </c>
    </row>
    <row r="30" spans="1:1" x14ac:dyDescent="0.2">
      <c r="A30" t="s">
        <v>23</v>
      </c>
    </row>
    <row r="31" spans="1:1" x14ac:dyDescent="0.2">
      <c r="A31" t="s">
        <v>24</v>
      </c>
    </row>
    <row r="32" spans="1:1" x14ac:dyDescent="0.2">
      <c r="A32" t="s">
        <v>25</v>
      </c>
    </row>
    <row r="33" spans="1:1" x14ac:dyDescent="0.2">
      <c r="A33" t="s">
        <v>26</v>
      </c>
    </row>
    <row r="35" spans="1:1" ht="16" x14ac:dyDescent="0.2">
      <c r="A35" s="1" t="s">
        <v>27</v>
      </c>
    </row>
    <row r="36" spans="1:1" x14ac:dyDescent="0.2">
      <c r="A36" t="s">
        <v>28</v>
      </c>
    </row>
    <row r="37" spans="1:1" x14ac:dyDescent="0.2">
      <c r="A37" t="s">
        <v>29</v>
      </c>
    </row>
    <row r="38" spans="1:1" x14ac:dyDescent="0.2">
      <c r="A38" t="s">
        <v>30</v>
      </c>
    </row>
    <row r="39" spans="1:1" x14ac:dyDescent="0.2">
      <c r="A39" t="s">
        <v>31</v>
      </c>
    </row>
    <row r="40" spans="1:1" x14ac:dyDescent="0.2">
      <c r="A40" t="s">
        <v>32</v>
      </c>
    </row>
    <row r="41" spans="1:1" x14ac:dyDescent="0.2">
      <c r="A41" t="s">
        <v>33</v>
      </c>
    </row>
    <row r="42" spans="1:1" x14ac:dyDescent="0.2">
      <c r="A42" t="s">
        <v>34</v>
      </c>
    </row>
    <row r="44" spans="1:1" ht="16" x14ac:dyDescent="0.2">
      <c r="A44" s="1" t="s">
        <v>35</v>
      </c>
    </row>
    <row r="45" spans="1:1" x14ac:dyDescent="0.2">
      <c r="A45" t="s">
        <v>36</v>
      </c>
    </row>
    <row r="46" spans="1:1" x14ac:dyDescent="0.2">
      <c r="A46" t="s">
        <v>37</v>
      </c>
    </row>
  </sheetData>
  <mergeCells count="1">
    <mergeCell ref="A1:A2"/>
  </mergeCell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
  <sheetViews>
    <sheetView workbookViewId="0">
      <pane ySplit="1" topLeftCell="A2" activePane="bottomLeft" state="frozen"/>
      <selection pane="bottomLeft"/>
    </sheetView>
  </sheetViews>
  <sheetFormatPr baseColWidth="10" defaultColWidth="8.83203125" defaultRowHeight="15" x14ac:dyDescent="0.2"/>
  <cols>
    <col min="1" max="1" width="25" customWidth="1"/>
    <col min="2" max="2" width="50" customWidth="1"/>
    <col min="3" max="3" width="60" customWidth="1"/>
    <col min="4" max="4" width="30" customWidth="1"/>
    <col min="5" max="5" width="12" customWidth="1"/>
  </cols>
  <sheetData>
    <row r="1" spans="1:5" ht="16" x14ac:dyDescent="0.2">
      <c r="A1" s="2" t="s">
        <v>38</v>
      </c>
      <c r="B1" s="2" t="s">
        <v>39</v>
      </c>
      <c r="C1" s="2" t="s">
        <v>40</v>
      </c>
      <c r="D1" s="2" t="s">
        <v>41</v>
      </c>
      <c r="E1" s="2" t="s">
        <v>42</v>
      </c>
    </row>
    <row r="2" spans="1:5" x14ac:dyDescent="0.2">
      <c r="A2" s="3" t="s">
        <v>43</v>
      </c>
      <c r="B2" t="s">
        <v>44</v>
      </c>
      <c r="C2" t="s">
        <v>45</v>
      </c>
      <c r="D2" t="s">
        <v>46</v>
      </c>
      <c r="E2" t="s">
        <v>47</v>
      </c>
    </row>
    <row r="3" spans="1:5" x14ac:dyDescent="0.2">
      <c r="A3" s="3" t="s">
        <v>48</v>
      </c>
      <c r="B3" t="s">
        <v>49</v>
      </c>
      <c r="C3" t="s">
        <v>50</v>
      </c>
      <c r="D3" t="s">
        <v>51</v>
      </c>
      <c r="E3" t="s">
        <v>47</v>
      </c>
    </row>
    <row r="4" spans="1:5" x14ac:dyDescent="0.2">
      <c r="A4" s="3" t="s">
        <v>52</v>
      </c>
      <c r="B4" s="4" t="str">
        <f>COMPONENT_SELECTOR!E13</f>
        <v>aerosol,atmosphere,atmospheric_chemistry,land_surface,ocean,ocean_biogeochemistry,sea_ice</v>
      </c>
      <c r="C4" t="s">
        <v>53</v>
      </c>
      <c r="D4" t="s">
        <v>54</v>
      </c>
      <c r="E4" t="s">
        <v>47</v>
      </c>
    </row>
    <row r="5" spans="1:5" x14ac:dyDescent="0.2">
      <c r="A5" s="5" t="s">
        <v>55</v>
      </c>
      <c r="B5" s="4" t="str">
        <f>COMPONENT_SELECTOR!E14</f>
        <v/>
      </c>
      <c r="C5" t="s">
        <v>56</v>
      </c>
      <c r="D5" t="s">
        <v>57</v>
      </c>
      <c r="E5" t="s">
        <v>58</v>
      </c>
    </row>
    <row r="6" spans="1:5" x14ac:dyDescent="0.2">
      <c r="A6" s="5" t="s">
        <v>59</v>
      </c>
      <c r="B6" s="4" t="str">
        <f>COMPONENT_SELECTOR!E15</f>
        <v>land_ice</v>
      </c>
      <c r="C6" t="s">
        <v>60</v>
      </c>
      <c r="D6" t="s">
        <v>61</v>
      </c>
      <c r="E6" t="s">
        <v>58</v>
      </c>
    </row>
    <row r="7" spans="1:5" ht="253" x14ac:dyDescent="0.2">
      <c r="A7" s="3" t="s">
        <v>62</v>
      </c>
      <c r="B7" s="6" t="s">
        <v>63</v>
      </c>
      <c r="C7" t="s">
        <v>64</v>
      </c>
      <c r="D7" t="s">
        <v>65</v>
      </c>
      <c r="E7" t="s">
        <v>47</v>
      </c>
    </row>
    <row r="8" spans="1:5" x14ac:dyDescent="0.2">
      <c r="A8" s="3" t="s">
        <v>66</v>
      </c>
      <c r="B8" t="s">
        <v>67</v>
      </c>
      <c r="C8" t="s">
        <v>68</v>
      </c>
      <c r="D8" t="s">
        <v>67</v>
      </c>
      <c r="E8" t="s">
        <v>47</v>
      </c>
    </row>
    <row r="9" spans="1:5" x14ac:dyDescent="0.2">
      <c r="A9" s="3" t="s">
        <v>69</v>
      </c>
      <c r="B9">
        <v>2018</v>
      </c>
      <c r="C9" t="s">
        <v>70</v>
      </c>
      <c r="D9" t="s">
        <v>71</v>
      </c>
      <c r="E9" t="s">
        <v>47</v>
      </c>
    </row>
    <row r="10" spans="1:5" ht="30" customHeight="1" x14ac:dyDescent="0.2">
      <c r="A10" s="7" t="s">
        <v>72</v>
      </c>
      <c r="B10" s="53" t="s">
        <v>73</v>
      </c>
      <c r="C10" s="52"/>
      <c r="D10" s="52"/>
      <c r="E10" s="52"/>
    </row>
    <row r="12" spans="1:5" ht="25" customHeight="1" x14ac:dyDescent="0.2">
      <c r="A12" s="54" t="s">
        <v>74</v>
      </c>
      <c r="B12" s="52"/>
      <c r="C12" s="52"/>
      <c r="D12" s="52"/>
      <c r="E12" s="52"/>
    </row>
    <row r="13" spans="1:5" x14ac:dyDescent="0.2">
      <c r="A13" s="55" t="s">
        <v>75</v>
      </c>
      <c r="B13" s="52"/>
      <c r="C13" s="52"/>
      <c r="D13" s="52"/>
      <c r="E13" s="52"/>
    </row>
    <row r="15" spans="1:5" ht="32" x14ac:dyDescent="0.2">
      <c r="A15" s="8" t="s">
        <v>76</v>
      </c>
      <c r="B15" s="8" t="s">
        <v>77</v>
      </c>
      <c r="C15" s="8" t="s">
        <v>78</v>
      </c>
      <c r="D15" s="8" t="s">
        <v>79</v>
      </c>
      <c r="E15" s="8" t="s">
        <v>80</v>
      </c>
    </row>
    <row r="16" spans="1:5" ht="27" x14ac:dyDescent="0.2">
      <c r="A16" s="9" t="s">
        <v>81</v>
      </c>
      <c r="B16" s="10" t="str">
        <f>IF(AND(B2&lt;&gt;"", B3&lt;&gt;"", B4&lt;&gt;"", B6&lt;&gt;"", B7&lt;&gt;"", B8&lt;&gt;""), "✓ OK", IF(OR(B2="", B3="", B4="", B6="", B7="", B8=""), "✗ Missing", "⚠ Check"))</f>
        <v>✓ OK</v>
      </c>
      <c r="C16" s="11" t="s">
        <v>82</v>
      </c>
      <c r="D16" s="12" t="s">
        <v>83</v>
      </c>
      <c r="E16" s="13" t="s">
        <v>84</v>
      </c>
    </row>
    <row r="17" spans="1:5" ht="53" x14ac:dyDescent="0.2">
      <c r="A17" s="9" t="s">
        <v>85</v>
      </c>
      <c r="B17" s="10" t="str">
        <f>IF(B4="", "⚠ N/A", IF(COUNTIF('Model Components'!B4:B100, "?*")&gt;=1, "✓ OK", "✗ Missing"))</f>
        <v>✓ OK</v>
      </c>
      <c r="C17" s="11" t="s">
        <v>86</v>
      </c>
      <c r="D17" s="12" t="s">
        <v>87</v>
      </c>
      <c r="E17" s="13" t="s">
        <v>88</v>
      </c>
    </row>
    <row r="18" spans="1:5" ht="40" x14ac:dyDescent="0.2">
      <c r="A18" s="9" t="s">
        <v>89</v>
      </c>
      <c r="B18" s="10" t="str">
        <f>IF(COUNTIF('Model Components'!B4:B100, "?*")=0, "⚠ N/A", IF(AND(COUNTIF('Model Components'!I4:I100, "?*")&gt;=1, COUNTIF('Model Components'!J4:J100, "?*")&gt;=1), "✓ OK", "✗ Missing"))</f>
        <v>✓ OK</v>
      </c>
      <c r="C18" s="11" t="s">
        <v>90</v>
      </c>
      <c r="D18" s="12" t="s">
        <v>87</v>
      </c>
      <c r="E18" s="13" t="s">
        <v>91</v>
      </c>
    </row>
    <row r="19" spans="1:5" ht="53" x14ac:dyDescent="0.2">
      <c r="A19" s="9" t="s">
        <v>92</v>
      </c>
      <c r="B19" s="10" t="str">
        <f>IF(COUNTIF('Horizontal Grid'!A:A, "HGRID*")&gt;=1, "✓ OK", "✗ Missing")</f>
        <v>✓ OK</v>
      </c>
      <c r="C19" s="11" t="s">
        <v>93</v>
      </c>
      <c r="D19" s="12" t="s">
        <v>94</v>
      </c>
      <c r="E19" s="13" t="s">
        <v>95</v>
      </c>
    </row>
    <row r="20" spans="1:5" ht="53" x14ac:dyDescent="0.2">
      <c r="A20" s="9" t="s">
        <v>96</v>
      </c>
      <c r="B20" s="10" t="str">
        <f>IF(COUNTIF('Vertical Grid'!A:A, "VGRID*")&gt;=1, "✓ OK", "✗ Missing")</f>
        <v>✓ OK</v>
      </c>
      <c r="C20" s="11" t="s">
        <v>97</v>
      </c>
      <c r="D20" s="12" t="s">
        <v>98</v>
      </c>
      <c r="E20" s="13" t="s">
        <v>99</v>
      </c>
    </row>
    <row r="21" spans="1:5" ht="27" x14ac:dyDescent="0.2">
      <c r="A21" s="9" t="s">
        <v>100</v>
      </c>
      <c r="B21" s="10" t="str">
        <f>IF(COUNTIF(References!A:A, "REF*")&gt;=1, "✓ OK", "✗ Missing")</f>
        <v>✓ OK</v>
      </c>
      <c r="C21" s="11" t="s">
        <v>101</v>
      </c>
      <c r="D21" s="12" t="s">
        <v>102</v>
      </c>
      <c r="E21" s="13" t="s">
        <v>103</v>
      </c>
    </row>
    <row r="22" spans="1:5" ht="40" x14ac:dyDescent="0.2">
      <c r="A22" s="9" t="s">
        <v>104</v>
      </c>
      <c r="B22" s="10" t="str">
        <f>IF(COUNTIF('Model Components'!K4:K100, "?*")&gt;=1, "✓ OK", "⚠ Check")</f>
        <v>✓ OK</v>
      </c>
      <c r="C22" s="11" t="s">
        <v>105</v>
      </c>
      <c r="D22" s="12" t="s">
        <v>87</v>
      </c>
      <c r="E22" s="13" t="s">
        <v>106</v>
      </c>
    </row>
    <row r="23" spans="1:5" ht="27" x14ac:dyDescent="0.2">
      <c r="A23" s="9" t="s">
        <v>107</v>
      </c>
      <c r="B23" s="10" t="str">
        <f>IF(AND(COUNTIF('Horizontal Grid'!S:S, "&gt;0")&gt;=1, COUNTIF('Horizontal Grid'!U:U, "&gt;0")&gt;=1), "✓ OK", "⚠ Check")</f>
        <v>✓ OK</v>
      </c>
      <c r="C23" s="11" t="s">
        <v>108</v>
      </c>
      <c r="D23" s="12" t="s">
        <v>94</v>
      </c>
      <c r="E23" s="13" t="s">
        <v>109</v>
      </c>
    </row>
    <row r="24" spans="1:5" ht="79" x14ac:dyDescent="0.2">
      <c r="A24" s="9" t="s">
        <v>110</v>
      </c>
      <c r="B24" s="10" t="str">
        <f>IF(COUNTIF('Model Components'!B4:B100, "?*")=0, "⚠ N/A", "⚠ Manual")</f>
        <v>⚠ Manual</v>
      </c>
      <c r="C24" s="11" t="s">
        <v>111</v>
      </c>
      <c r="D24" s="12" t="s">
        <v>87</v>
      </c>
      <c r="E24" s="13" t="s">
        <v>112</v>
      </c>
    </row>
    <row r="25" spans="1:5" ht="66" x14ac:dyDescent="0.2">
      <c r="A25" s="9" t="s">
        <v>113</v>
      </c>
      <c r="B25" s="10" t="str">
        <f>IF(COUNTIF('Horizontal Grid'!M:M, "?*")&gt;=1, "✓ OK", "⚠ Check")</f>
        <v>✓ OK</v>
      </c>
      <c r="C25" s="11" t="s">
        <v>114</v>
      </c>
      <c r="D25" s="12" t="s">
        <v>94</v>
      </c>
      <c r="E25" s="13" t="s">
        <v>115</v>
      </c>
    </row>
    <row r="27" spans="1:5" ht="16" x14ac:dyDescent="0.2">
      <c r="A27" s="56" t="str">
        <f>CONCATENATE("Overall Status: ", COUNTIF(B16:B25, "✓*"), " OK | ", COUNTIF(B16:B25, "✗*"), " Missing | ", COUNTIF(B16:B25, "⚠*"), " Warnings")</f>
        <v>Overall Status: 9 OK | 0 Missing | 1 Warnings</v>
      </c>
      <c r="B27" s="52"/>
      <c r="C27" s="52"/>
      <c r="D27" s="52"/>
      <c r="E27" s="52"/>
    </row>
    <row r="29" spans="1:5" x14ac:dyDescent="0.2">
      <c r="A29" s="14" t="s">
        <v>116</v>
      </c>
    </row>
    <row r="30" spans="1:5" x14ac:dyDescent="0.2">
      <c r="A30" s="15" t="s">
        <v>117</v>
      </c>
      <c r="B30" s="52" t="s">
        <v>118</v>
      </c>
      <c r="C30" s="52"/>
      <c r="D30" s="52"/>
      <c r="E30" s="52"/>
    </row>
    <row r="31" spans="1:5" x14ac:dyDescent="0.2">
      <c r="A31" s="16" t="s">
        <v>119</v>
      </c>
      <c r="B31" s="52" t="s">
        <v>120</v>
      </c>
      <c r="C31" s="52"/>
      <c r="D31" s="52"/>
      <c r="E31" s="52"/>
    </row>
    <row r="32" spans="1:5" x14ac:dyDescent="0.2">
      <c r="A32" s="17" t="s">
        <v>121</v>
      </c>
      <c r="B32" s="52" t="s">
        <v>122</v>
      </c>
      <c r="C32" s="52"/>
      <c r="D32" s="52"/>
      <c r="E32" s="52"/>
    </row>
  </sheetData>
  <mergeCells count="7">
    <mergeCell ref="B31:E31"/>
    <mergeCell ref="B32:E32"/>
    <mergeCell ref="B10:E10"/>
    <mergeCell ref="A12:E12"/>
    <mergeCell ref="A13:E13"/>
    <mergeCell ref="A27:E27"/>
    <mergeCell ref="B30:E30"/>
  </mergeCells>
  <pageMargins left="0.75" right="0.75" top="1" bottom="1" header="0.5" footer="0.5"/>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errorTitle="Invalid Calendar" error="Please select a value from CV_Calendar sheet" xr:uid="{00000000-0002-0000-0100-000000000000}">
          <x14:formula1>
            <xm:f>CV_Calendar!$A$5:$A$11</xm:f>
          </x14:formula1>
          <xm:sqref>B8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heetViews>
  <sheetFormatPr baseColWidth="10" defaultColWidth="8.83203125" defaultRowHeight="15" x14ac:dyDescent="0.2"/>
  <cols>
    <col min="1" max="1" width="25" customWidth="1"/>
    <col min="2" max="4" width="35" customWidth="1"/>
    <col min="5" max="5" width="40" customWidth="1"/>
  </cols>
  <sheetData>
    <row r="1" spans="1:5" x14ac:dyDescent="0.2">
      <c r="A1" s="18" t="s">
        <v>123</v>
      </c>
      <c r="B1" s="19" t="s">
        <v>124</v>
      </c>
      <c r="C1" s="20" t="s">
        <v>125</v>
      </c>
      <c r="D1" s="21" t="s">
        <v>126</v>
      </c>
    </row>
    <row r="2" spans="1:5" x14ac:dyDescent="0.2">
      <c r="A2" s="22" t="s">
        <v>61</v>
      </c>
      <c r="B2" s="23" t="s">
        <v>47</v>
      </c>
      <c r="C2" s="23" t="s">
        <v>58</v>
      </c>
      <c r="D2" s="23" t="s">
        <v>58</v>
      </c>
    </row>
    <row r="3" spans="1:5" x14ac:dyDescent="0.2">
      <c r="A3" s="22" t="s">
        <v>127</v>
      </c>
      <c r="B3" s="23" t="s">
        <v>47</v>
      </c>
      <c r="C3" s="23" t="s">
        <v>58</v>
      </c>
      <c r="D3" s="23" t="s">
        <v>58</v>
      </c>
    </row>
    <row r="4" spans="1:5" x14ac:dyDescent="0.2">
      <c r="A4" s="22" t="s">
        <v>57</v>
      </c>
      <c r="B4" s="23" t="s">
        <v>47</v>
      </c>
      <c r="C4" s="23" t="s">
        <v>58</v>
      </c>
      <c r="D4" s="23" t="s">
        <v>58</v>
      </c>
    </row>
    <row r="5" spans="1:5" x14ac:dyDescent="0.2">
      <c r="A5" s="22" t="s">
        <v>128</v>
      </c>
      <c r="B5" s="23" t="s">
        <v>47</v>
      </c>
      <c r="C5" s="23" t="s">
        <v>58</v>
      </c>
      <c r="D5" s="23" t="s">
        <v>58</v>
      </c>
    </row>
    <row r="6" spans="1:5" x14ac:dyDescent="0.2">
      <c r="A6" s="22" t="s">
        <v>129</v>
      </c>
      <c r="B6" s="23" t="s">
        <v>58</v>
      </c>
      <c r="C6" s="23" t="s">
        <v>58</v>
      </c>
      <c r="D6" s="23" t="s">
        <v>47</v>
      </c>
    </row>
    <row r="7" spans="1:5" x14ac:dyDescent="0.2">
      <c r="A7" s="22" t="s">
        <v>130</v>
      </c>
      <c r="B7" s="23" t="s">
        <v>47</v>
      </c>
      <c r="C7" s="23" t="s">
        <v>58</v>
      </c>
      <c r="D7" s="23" t="s">
        <v>58</v>
      </c>
    </row>
    <row r="8" spans="1:5" x14ac:dyDescent="0.2">
      <c r="A8" s="22" t="s">
        <v>131</v>
      </c>
      <c r="B8" s="23" t="s">
        <v>47</v>
      </c>
      <c r="C8" s="23" t="s">
        <v>58</v>
      </c>
      <c r="D8" s="23" t="s">
        <v>58</v>
      </c>
    </row>
    <row r="9" spans="1:5" x14ac:dyDescent="0.2">
      <c r="A9" s="22" t="s">
        <v>132</v>
      </c>
      <c r="B9" s="23" t="s">
        <v>47</v>
      </c>
      <c r="C9" s="23" t="s">
        <v>58</v>
      </c>
      <c r="D9" s="23" t="s">
        <v>58</v>
      </c>
    </row>
    <row r="12" spans="1:5" x14ac:dyDescent="0.2">
      <c r="A12" s="24" t="e">
        <v>#NAME?</v>
      </c>
      <c r="B12" s="25" t="s">
        <v>133</v>
      </c>
      <c r="C12" s="25" t="s">
        <v>134</v>
      </c>
      <c r="D12" s="25" t="s">
        <v>135</v>
      </c>
      <c r="E12" s="26" t="s">
        <v>136</v>
      </c>
    </row>
    <row r="13" spans="1:5" x14ac:dyDescent="0.2">
      <c r="A13" s="27" t="s">
        <v>137</v>
      </c>
      <c r="B13" s="28" t="str">
        <f>TRIM(CONCATENATE(IF(B2="Yes",CONCATENATE(A2,","),""),IF(B3="Yes",CONCATENATE(A3,","),""),IF(B4="Yes",CONCATENATE(A4,","),""),IF(B5="Yes",CONCATENATE(A5,","),""),IF(B6="Yes",CONCATENATE(A6,","),""),IF(B7="Yes",CONCATENATE(A7,","),""),IF(B8="Yes",CONCATENATE(A8,","),""),IF(B9="Yes",CONCATENATE(A9,","),"")))</f>
        <v>aerosol,atmosphere,atmospheric_chemistry,land_surface,ocean,ocean_biogeochemistry,sea_ice,</v>
      </c>
      <c r="C13" t="str">
        <f t="shared" ref="C13:C15" si="0">SUBSTITUTE(B13,",,",",")</f>
        <v>aerosol,atmosphere,atmospheric_chemistry,land_surface,ocean,ocean_biogeochemistry,sea_ice,</v>
      </c>
      <c r="D13" t="str">
        <f t="shared" ref="D13:D15" si="1">IF(LEFT(C13,1)=",",MID(C13,2,LEN(C13)),C13)</f>
        <v>aerosol,atmosphere,atmospheric_chemistry,land_surface,ocean,ocean_biogeochemistry,sea_ice,</v>
      </c>
      <c r="E13" s="29" t="str">
        <f t="shared" ref="E13:E15" si="2">IF(RIGHT(D13,1)=",",LEFT(D13,LEN(D13)-1),D13)</f>
        <v>aerosol,atmosphere,atmospheric_chemistry,land_surface,ocean,ocean_biogeochemistry,sea_ice</v>
      </c>
    </row>
    <row r="14" spans="1:5" x14ac:dyDescent="0.2">
      <c r="A14" s="30" t="s">
        <v>138</v>
      </c>
      <c r="B14" s="31" t="str">
        <f>TRIM(CONCATENATE(IF(C2="Yes",CONCATENATE(A2,","),""),IF(C3="Yes",CONCATENATE(A3,","),""),IF(C4="Yes",CONCATENATE(A4,","),""),IF(C5="Yes",CONCATENATE(A5,","),""),IF(C6="Yes",CONCATENATE(A6,","),""),IF(C7="Yes",CONCATENATE(A7,","),""),IF(C8="Yes",CONCATENATE(A8,","),""),IF(C9="Yes",CONCATENATE(A9,","),"")))</f>
        <v/>
      </c>
      <c r="C14" t="str">
        <f t="shared" si="0"/>
        <v/>
      </c>
      <c r="D14" t="str">
        <f t="shared" si="1"/>
        <v/>
      </c>
      <c r="E14" s="29" t="str">
        <f t="shared" si="2"/>
        <v/>
      </c>
    </row>
    <row r="15" spans="1:5" x14ac:dyDescent="0.2">
      <c r="A15" s="24" t="s">
        <v>139</v>
      </c>
      <c r="B15" s="32" t="str">
        <f>TRIM(CONCATENATE(IF(D2="Yes",CONCATENATE(A2,","),""),IF(D3="Yes",CONCATENATE(A3,","),""),IF(D4="Yes",CONCATENATE(A4,","),""),IF(D5="Yes",CONCATENATE(A5,","),""),IF(D6="Yes",CONCATENATE(A6,","),""),IF(D7="Yes",CONCATENATE(A7,","),""),IF(D8="Yes",CONCATENATE(A8,","),""),IF(D9="Yes",CONCATENATE(A9,","),"")))</f>
        <v>land_ice,</v>
      </c>
      <c r="C15" t="str">
        <f t="shared" si="0"/>
        <v>land_ice,</v>
      </c>
      <c r="D15" t="str">
        <f t="shared" si="1"/>
        <v>land_ice,</v>
      </c>
      <c r="E15" s="29" t="str">
        <f t="shared" si="2"/>
        <v>land_ice</v>
      </c>
    </row>
    <row r="17" spans="1:5" x14ac:dyDescent="0.2">
      <c r="A17" s="7" t="s">
        <v>140</v>
      </c>
    </row>
    <row r="18" spans="1:5" x14ac:dyDescent="0.2">
      <c r="A18" s="57" t="s">
        <v>141</v>
      </c>
      <c r="B18" s="52"/>
      <c r="C18" s="52"/>
      <c r="D18" s="52"/>
      <c r="E18" s="52"/>
    </row>
    <row r="19" spans="1:5" x14ac:dyDescent="0.2">
      <c r="A19" s="57" t="s">
        <v>142</v>
      </c>
      <c r="B19" s="52"/>
      <c r="C19" s="52"/>
      <c r="D19" s="52"/>
      <c r="E19" s="52"/>
    </row>
    <row r="20" spans="1:5" x14ac:dyDescent="0.2">
      <c r="A20" s="57" t="s">
        <v>143</v>
      </c>
      <c r="B20" s="52"/>
      <c r="C20" s="52"/>
      <c r="D20" s="52"/>
      <c r="E20" s="52"/>
    </row>
    <row r="21" spans="1:5" x14ac:dyDescent="0.2">
      <c r="A21" s="57" t="s">
        <v>144</v>
      </c>
      <c r="B21" s="52"/>
      <c r="C21" s="52"/>
      <c r="D21" s="52"/>
      <c r="E21" s="52"/>
    </row>
  </sheetData>
  <mergeCells count="4">
    <mergeCell ref="A18:E18"/>
    <mergeCell ref="A19:E19"/>
    <mergeCell ref="A20:E20"/>
    <mergeCell ref="A21:E21"/>
  </mergeCells>
  <dataValidations count="1">
    <dataValidation type="list" allowBlank="1" sqref="B2:D9" xr:uid="{00C9006E-0020-4A76-83BD-003500CF0007}">
      <formula1>"Yes,No"</formula1>
    </dataValidation>
  </dataValidations>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
  <sheetViews>
    <sheetView topLeftCell="C1" workbookViewId="0">
      <pane ySplit="3" topLeftCell="A4" activePane="bottomLeft" state="frozen"/>
      <selection pane="bottomLeft" activeCell="C1" sqref="C1"/>
    </sheetView>
  </sheetViews>
  <sheetFormatPr baseColWidth="10" defaultColWidth="8.83203125" defaultRowHeight="15" x14ac:dyDescent="0.2"/>
  <cols>
    <col min="1" max="4" width="20" customWidth="1"/>
    <col min="5" max="5" width="50" customWidth="1"/>
    <col min="6" max="6" width="35" customWidth="1"/>
    <col min="7" max="11" width="20" customWidth="1"/>
  </cols>
  <sheetData>
    <row r="1" spans="1:11" ht="16" x14ac:dyDescent="0.2">
      <c r="A1" s="2" t="s">
        <v>145</v>
      </c>
      <c r="B1" s="2" t="s">
        <v>146</v>
      </c>
      <c r="C1" s="2" t="s">
        <v>43</v>
      </c>
      <c r="D1" s="2" t="s">
        <v>48</v>
      </c>
      <c r="E1" s="2" t="s">
        <v>62</v>
      </c>
      <c r="F1" s="2" t="s">
        <v>147</v>
      </c>
      <c r="G1" s="2" t="s">
        <v>148</v>
      </c>
      <c r="H1" s="2" t="s">
        <v>149</v>
      </c>
      <c r="I1" s="2" t="s">
        <v>150</v>
      </c>
      <c r="J1" s="2" t="s">
        <v>151</v>
      </c>
      <c r="K1" s="2" t="s">
        <v>152</v>
      </c>
    </row>
    <row r="2" spans="1:11" ht="48" x14ac:dyDescent="0.2">
      <c r="A2" s="11" t="s">
        <v>153</v>
      </c>
      <c r="B2" s="11" t="s">
        <v>154</v>
      </c>
      <c r="C2" s="11" t="s">
        <v>155</v>
      </c>
      <c r="D2" s="11" t="s">
        <v>156</v>
      </c>
      <c r="E2" s="11" t="s">
        <v>157</v>
      </c>
      <c r="F2" s="11" t="s">
        <v>158</v>
      </c>
      <c r="G2" s="11" t="s">
        <v>159</v>
      </c>
      <c r="H2" s="33" t="s">
        <v>160</v>
      </c>
      <c r="I2" s="11" t="s">
        <v>161</v>
      </c>
      <c r="J2" s="11" t="s">
        <v>162</v>
      </c>
      <c r="K2" s="11" t="s">
        <v>163</v>
      </c>
    </row>
    <row r="3" spans="1:11" x14ac:dyDescent="0.2">
      <c r="A3" s="34" t="s">
        <v>164</v>
      </c>
      <c r="B3" s="34" t="s">
        <v>127</v>
      </c>
      <c r="C3" s="34" t="s">
        <v>165</v>
      </c>
      <c r="D3" s="34" t="s">
        <v>166</v>
      </c>
      <c r="E3" s="34" t="s">
        <v>167</v>
      </c>
      <c r="F3" s="34" t="s">
        <v>168</v>
      </c>
      <c r="G3" s="34"/>
      <c r="H3" s="34" t="s">
        <v>169</v>
      </c>
      <c r="I3" s="34" t="s">
        <v>170</v>
      </c>
      <c r="J3" s="34" t="s">
        <v>171</v>
      </c>
      <c r="K3" s="34" t="s">
        <v>172</v>
      </c>
    </row>
    <row r="4" spans="1:11" ht="281" x14ac:dyDescent="0.2">
      <c r="A4" t="s">
        <v>164</v>
      </c>
      <c r="B4" t="s">
        <v>61</v>
      </c>
      <c r="C4" t="s">
        <v>173</v>
      </c>
      <c r="D4" t="s">
        <v>174</v>
      </c>
      <c r="E4" s="6" t="s">
        <v>175</v>
      </c>
      <c r="F4" t="s">
        <v>176</v>
      </c>
      <c r="G4" t="s">
        <v>127</v>
      </c>
      <c r="I4" t="s">
        <v>170</v>
      </c>
      <c r="J4" t="s">
        <v>171</v>
      </c>
      <c r="K4" t="s">
        <v>177</v>
      </c>
    </row>
    <row r="5" spans="1:11" ht="155" x14ac:dyDescent="0.2">
      <c r="B5" t="s">
        <v>127</v>
      </c>
      <c r="C5" s="35" t="s">
        <v>178</v>
      </c>
      <c r="D5" t="s">
        <v>179</v>
      </c>
      <c r="E5" s="6" t="s">
        <v>180</v>
      </c>
      <c r="F5" t="s">
        <v>176</v>
      </c>
      <c r="H5" t="s">
        <v>181</v>
      </c>
      <c r="I5" t="s">
        <v>170</v>
      </c>
      <c r="J5" t="s">
        <v>171</v>
      </c>
      <c r="K5" t="s">
        <v>182</v>
      </c>
    </row>
    <row r="6" spans="1:11" ht="281" x14ac:dyDescent="0.2">
      <c r="B6" t="s">
        <v>57</v>
      </c>
      <c r="C6" s="35" t="s">
        <v>183</v>
      </c>
      <c r="D6" s="35" t="s">
        <v>184</v>
      </c>
      <c r="E6" s="6" t="s">
        <v>185</v>
      </c>
      <c r="F6" t="s">
        <v>176</v>
      </c>
      <c r="G6" t="s">
        <v>127</v>
      </c>
      <c r="I6" t="s">
        <v>170</v>
      </c>
      <c r="J6" t="s">
        <v>171</v>
      </c>
      <c r="K6" t="s">
        <v>177</v>
      </c>
    </row>
    <row r="7" spans="1:11" ht="169" x14ac:dyDescent="0.2">
      <c r="B7" t="s">
        <v>128</v>
      </c>
      <c r="C7" s="35" t="s">
        <v>186</v>
      </c>
      <c r="D7" t="s">
        <v>187</v>
      </c>
      <c r="E7" s="6" t="s">
        <v>188</v>
      </c>
      <c r="F7" s="36" t="s">
        <v>189</v>
      </c>
      <c r="H7" t="s">
        <v>190</v>
      </c>
      <c r="I7" t="s">
        <v>170</v>
      </c>
      <c r="J7" t="s">
        <v>191</v>
      </c>
      <c r="K7" t="s">
        <v>192</v>
      </c>
    </row>
    <row r="8" spans="1:11" ht="253" x14ac:dyDescent="0.2">
      <c r="B8" t="s">
        <v>130</v>
      </c>
      <c r="C8" s="35" t="s">
        <v>193</v>
      </c>
      <c r="D8" t="s">
        <v>194</v>
      </c>
      <c r="E8" s="6" t="s">
        <v>195</v>
      </c>
      <c r="F8" t="s">
        <v>176</v>
      </c>
      <c r="H8" t="s">
        <v>196</v>
      </c>
      <c r="I8" t="s">
        <v>197</v>
      </c>
      <c r="J8" t="s">
        <v>198</v>
      </c>
      <c r="K8" t="s">
        <v>199</v>
      </c>
    </row>
    <row r="9" spans="1:11" ht="409.6" x14ac:dyDescent="0.2">
      <c r="B9" t="s">
        <v>131</v>
      </c>
      <c r="C9" s="35" t="s">
        <v>200</v>
      </c>
      <c r="D9" t="s">
        <v>201</v>
      </c>
      <c r="E9" s="6" t="s">
        <v>202</v>
      </c>
      <c r="F9" s="37" t="s">
        <v>203</v>
      </c>
      <c r="G9" t="s">
        <v>130</v>
      </c>
      <c r="H9" t="s">
        <v>196</v>
      </c>
      <c r="I9" t="s">
        <v>197</v>
      </c>
      <c r="J9" t="s">
        <v>198</v>
      </c>
      <c r="K9" t="s">
        <v>204</v>
      </c>
    </row>
    <row r="10" spans="1:11" x14ac:dyDescent="0.2">
      <c r="B10" t="s">
        <v>132</v>
      </c>
      <c r="C10" s="35" t="s">
        <v>205</v>
      </c>
      <c r="D10" s="35" t="s">
        <v>205</v>
      </c>
      <c r="E10" s="6" t="s">
        <v>206</v>
      </c>
      <c r="F10" t="s">
        <v>176</v>
      </c>
      <c r="G10" t="s">
        <v>130</v>
      </c>
      <c r="I10" t="s">
        <v>197</v>
      </c>
      <c r="J10" t="s">
        <v>207</v>
      </c>
      <c r="K10" t="s">
        <v>208</v>
      </c>
    </row>
    <row r="11" spans="1:11" x14ac:dyDescent="0.2">
      <c r="E11" s="6"/>
    </row>
    <row r="12" spans="1:11" x14ac:dyDescent="0.2">
      <c r="E12" s="38"/>
    </row>
    <row r="13" spans="1:11" x14ac:dyDescent="0.2">
      <c r="E13" s="38"/>
    </row>
    <row r="14" spans="1:11" x14ac:dyDescent="0.2">
      <c r="E14" s="38"/>
    </row>
  </sheetData>
  <hyperlinks>
    <hyperlink ref="F7" r:id="rId1" xr:uid="{00000000-0004-0000-0300-000000000000}"/>
    <hyperlink ref="F9" r:id="rId2" xr:uid="{00000000-0004-0000-0300-000001000000}"/>
  </hyperlinks>
  <pageMargins left="0.75" right="0.75" top="1" bottom="1" header="0.5" footer="0.5"/>
  <pageSetup paperSize="9" orientation="portrait"/>
  <extLst>
    <ext xmlns:x14="http://schemas.microsoft.com/office/spreadsheetml/2009/9/main" uri="{CCE6A557-97BC-4b89-ADB6-D9C93CAAB3DF}">
      <x14:dataValidations xmlns:xm="http://schemas.microsoft.com/office/excel/2006/main" count="2">
        <x14:dataValidation type="list" errorTitle="Invalid Component" error="Please select a component type from CV_Component sheet" xr:uid="{00000000-0002-0000-0300-000000000000}">
          <x14:formula1>
            <xm:f>CV_Component!$A$5:$A$12</xm:f>
          </x14:formula1>
          <xm:sqref>B4:B100</xm:sqref>
        </x14:dataValidation>
        <x14:dataValidation type="list" allowBlank="1" errorTitle="Invalid Component" error="Please select a component from CV_Component sheet" xr:uid="{00000000-0002-0000-0300-000001000000}">
          <x14:formula1>
            <xm:f>CV_Component!$A$5:$A$12</xm:f>
          </x14:formula1>
          <xm:sqref>G4:G100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5"/>
  <sheetViews>
    <sheetView tabSelected="1" workbookViewId="0">
      <pane ySplit="3" topLeftCell="A4" activePane="bottomLeft" state="frozen"/>
      <selection pane="bottomLeft" activeCell="E13" sqref="E13"/>
    </sheetView>
  </sheetViews>
  <sheetFormatPr baseColWidth="10" defaultColWidth="8.83203125" defaultRowHeight="15" x14ac:dyDescent="0.2"/>
  <cols>
    <col min="1" max="22" width="15" customWidth="1"/>
  </cols>
  <sheetData>
    <row r="1" spans="1:22" ht="26" x14ac:dyDescent="0.2">
      <c r="A1" s="39" t="s">
        <v>209</v>
      </c>
      <c r="B1" s="39" t="s">
        <v>210</v>
      </c>
      <c r="C1" s="39" t="s">
        <v>211</v>
      </c>
      <c r="D1" s="39" t="s">
        <v>62</v>
      </c>
      <c r="E1" s="39" t="s">
        <v>212</v>
      </c>
      <c r="F1" s="39" t="s">
        <v>213</v>
      </c>
      <c r="G1" s="39" t="s">
        <v>214</v>
      </c>
      <c r="H1" s="39" t="s">
        <v>215</v>
      </c>
      <c r="I1" s="39" t="s">
        <v>216</v>
      </c>
      <c r="J1" s="39" t="s">
        <v>217</v>
      </c>
      <c r="K1" s="39" t="s">
        <v>218</v>
      </c>
      <c r="L1" s="39" t="s">
        <v>219</v>
      </c>
      <c r="M1" s="39" t="s">
        <v>220</v>
      </c>
      <c r="N1" s="39" t="s">
        <v>221</v>
      </c>
      <c r="O1" s="39" t="s">
        <v>222</v>
      </c>
      <c r="P1" s="39" t="s">
        <v>223</v>
      </c>
      <c r="Q1" s="39" t="s">
        <v>224</v>
      </c>
      <c r="R1" s="39" t="s">
        <v>225</v>
      </c>
      <c r="S1" s="39" t="s">
        <v>226</v>
      </c>
      <c r="T1" s="39" t="s">
        <v>227</v>
      </c>
      <c r="U1" s="39" t="s">
        <v>228</v>
      </c>
      <c r="V1" s="39" t="s">
        <v>229</v>
      </c>
    </row>
    <row r="2" spans="1:22" ht="49" x14ac:dyDescent="0.2">
      <c r="A2" s="40" t="s">
        <v>230</v>
      </c>
      <c r="B2" s="40" t="s">
        <v>231</v>
      </c>
      <c r="C2" s="40" t="s">
        <v>232</v>
      </c>
      <c r="D2" s="40" t="s">
        <v>233</v>
      </c>
      <c r="E2" s="40" t="s">
        <v>234</v>
      </c>
      <c r="F2" s="40" t="s">
        <v>235</v>
      </c>
      <c r="G2" s="40" t="s">
        <v>236</v>
      </c>
      <c r="H2" s="40" t="s">
        <v>237</v>
      </c>
      <c r="I2" s="40" t="s">
        <v>238</v>
      </c>
      <c r="J2" s="40" t="s">
        <v>239</v>
      </c>
      <c r="K2" s="40" t="s">
        <v>240</v>
      </c>
      <c r="L2" s="40" t="s">
        <v>241</v>
      </c>
      <c r="M2" s="40" t="s">
        <v>242</v>
      </c>
      <c r="N2" s="40" t="s">
        <v>243</v>
      </c>
      <c r="O2" s="40" t="s">
        <v>244</v>
      </c>
      <c r="P2" s="40" t="s">
        <v>245</v>
      </c>
      <c r="Q2" s="40" t="s">
        <v>246</v>
      </c>
      <c r="R2" s="40" t="s">
        <v>247</v>
      </c>
      <c r="S2" s="40" t="s">
        <v>248</v>
      </c>
      <c r="T2" s="40" t="s">
        <v>249</v>
      </c>
      <c r="U2" s="40" t="s">
        <v>250</v>
      </c>
      <c r="V2" s="40" t="s">
        <v>251</v>
      </c>
    </row>
    <row r="3" spans="1:22" x14ac:dyDescent="0.2">
      <c r="A3" s="41" t="s">
        <v>170</v>
      </c>
      <c r="B3" s="41"/>
      <c r="C3" s="41" t="s">
        <v>252</v>
      </c>
      <c r="D3" s="41"/>
      <c r="E3" s="41" t="s">
        <v>253</v>
      </c>
      <c r="F3" s="41" t="s">
        <v>254</v>
      </c>
      <c r="G3" s="41" t="s">
        <v>255</v>
      </c>
      <c r="H3" s="41" t="s">
        <v>256</v>
      </c>
      <c r="I3" s="41" t="s">
        <v>257</v>
      </c>
      <c r="J3" s="41"/>
      <c r="K3" s="41" t="s">
        <v>258</v>
      </c>
      <c r="L3" s="41" t="s">
        <v>259</v>
      </c>
      <c r="M3" s="41" t="s">
        <v>260</v>
      </c>
      <c r="N3" s="41" t="s">
        <v>261</v>
      </c>
      <c r="O3" s="41" t="s">
        <v>262</v>
      </c>
      <c r="P3" s="41" t="s">
        <v>263</v>
      </c>
      <c r="Q3" s="41"/>
      <c r="R3" s="41"/>
      <c r="S3" s="41" t="s">
        <v>264</v>
      </c>
      <c r="T3" s="41" t="s">
        <v>265</v>
      </c>
      <c r="U3" s="41" t="s">
        <v>266</v>
      </c>
      <c r="V3" s="41" t="s">
        <v>267</v>
      </c>
    </row>
    <row r="4" spans="1:22" x14ac:dyDescent="0.2">
      <c r="A4" t="s">
        <v>170</v>
      </c>
      <c r="B4" t="s">
        <v>268</v>
      </c>
      <c r="C4" t="s">
        <v>269</v>
      </c>
      <c r="D4" s="35" t="s">
        <v>268</v>
      </c>
      <c r="E4" t="s">
        <v>253</v>
      </c>
      <c r="F4" t="s">
        <v>254</v>
      </c>
      <c r="G4" t="s">
        <v>255</v>
      </c>
      <c r="H4" t="s">
        <v>270</v>
      </c>
      <c r="K4">
        <v>1.4</v>
      </c>
      <c r="L4">
        <v>1.4</v>
      </c>
      <c r="M4" t="s">
        <v>260</v>
      </c>
      <c r="N4">
        <v>-88.927735352207606</v>
      </c>
      <c r="O4">
        <v>0</v>
      </c>
      <c r="P4">
        <v>24572</v>
      </c>
      <c r="Q4" t="s">
        <v>271</v>
      </c>
      <c r="R4">
        <v>127</v>
      </c>
      <c r="S4">
        <v>155</v>
      </c>
      <c r="T4">
        <v>155</v>
      </c>
      <c r="U4">
        <v>155</v>
      </c>
      <c r="V4" t="s">
        <v>267</v>
      </c>
    </row>
    <row r="5" spans="1:22" x14ac:dyDescent="0.2">
      <c r="A5" t="s">
        <v>197</v>
      </c>
      <c r="B5" s="35" t="s">
        <v>272</v>
      </c>
      <c r="C5" t="s">
        <v>273</v>
      </c>
      <c r="D5" s="35" t="s">
        <v>272</v>
      </c>
      <c r="F5" t="s">
        <v>254</v>
      </c>
      <c r="G5" t="s">
        <v>255</v>
      </c>
      <c r="H5" t="s">
        <v>256</v>
      </c>
      <c r="K5" t="s">
        <v>274</v>
      </c>
      <c r="L5" t="s">
        <v>274</v>
      </c>
      <c r="P5">
        <v>105704</v>
      </c>
    </row>
  </sheetData>
  <pageMargins left="0.75" right="0.75" top="1" bottom="1" header="0.5" footer="0.5"/>
  <pageSetup paperSize="9" orientation="portrait"/>
  <extLst>
    <ext xmlns:x14="http://schemas.microsoft.com/office/spreadsheetml/2009/9/main" uri="{CCE6A557-97BC-4b89-ADB6-D9C93CAAB3DF}">
      <x14:dataValidations xmlns:xm="http://schemas.microsoft.com/office/excel/2006/main" count="10">
        <x14:dataValidation type="list" xr:uid="{00000000-0002-0000-0400-000000000000}">
          <x14:formula1>
            <xm:f>CV_Grid!$A$5:$A$24</xm:f>
          </x14:formula1>
          <xm:sqref>C4:C100</xm:sqref>
        </x14:dataValidation>
        <x14:dataValidation type="list" xr:uid="{00000000-0002-0000-0400-000001000000}">
          <x14:formula1>
            <xm:f>CV_GridMapping!$A$5:$A$18</xm:f>
          </x14:formula1>
          <xm:sqref>E4:E100</xm:sqref>
        </x14:dataValidation>
        <x14:dataValidation type="list" xr:uid="{00000000-0002-0000-0400-000002000000}">
          <x14:formula1>
            <xm:f>CV_TemporalRefinement!$A$5:$A$7</xm:f>
          </x14:formula1>
          <xm:sqref>G4:G100</xm:sqref>
        </x14:dataValidation>
        <x14:dataValidation type="list" xr:uid="{00000000-0002-0000-0400-000003000000}">
          <x14:formula1>
            <xm:f>CV_Arrangement!$A$5:$A$9</xm:f>
          </x14:formula1>
          <xm:sqref>H4:H100</xm:sqref>
        </x14:dataValidation>
        <x14:dataValidation type="list" allowBlank="1" xr:uid="{00000000-0002-0000-0400-000004000000}">
          <x14:formula1>
            <xm:f>CV_MeshLocation!$A$5:$A$7</xm:f>
          </x14:formula1>
          <xm:sqref>J4:J100</xm:sqref>
        </x14:dataValidation>
        <x14:dataValidation type="list" allowBlank="1" xr:uid="{00000000-0002-0000-0400-000005000000}">
          <x14:formula1>
            <xm:f>CV_HorizontalUnits!$A$5:$A$6</xm:f>
          </x14:formula1>
          <xm:sqref>M4:M100</xm:sqref>
        </x14:dataValidation>
        <x14:dataValidation type="list" allowBlank="1" xr:uid="{00000000-0002-0000-0400-000006000000}">
          <x14:formula1>
            <xm:f>CV_TruncationMethod!$A$5:$A$6</xm:f>
          </x14:formula1>
          <xm:sqref>Q4:Q100</xm:sqref>
        </x14:dataValidation>
        <x14:dataValidation type="list" xr:uid="{00000000-0002-0000-0400-000007000000}">
          <x14:formula1>
            <xm:f>CV_NominalResolution!$B$5:$B$21</xm:f>
          </x14:formula1>
          <xm:sqref>V4:V100</xm:sqref>
        </x14:dataValidation>
        <x14:dataValidation type="list" allowBlank="1" showInputMessage="1" showErrorMessage="1" xr:uid="{00000000-0002-0000-0400-000008000000}">
          <x14:formula1>
            <xm:f>CV_Region!$A$5:$A$8</xm:f>
          </x14:formula1>
          <xm:sqref>F4:F1048576</xm:sqref>
        </x14:dataValidation>
        <x14:dataValidation allowBlank="1" showInputMessage="1" showErrorMessage="1" xr:uid="{00000000-0002-0000-0400-000009000000}">
          <x14:formula1>
            <xm:f>CV_Region!$A$5:$A$8</xm:f>
          </x14:formula1>
          <xm:sqref>F1:F3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
  <sheetViews>
    <sheetView workbookViewId="0">
      <pane ySplit="3" topLeftCell="A4" activePane="bottomLeft" state="frozen"/>
      <selection pane="bottomLeft"/>
    </sheetView>
  </sheetViews>
  <sheetFormatPr baseColWidth="10" defaultColWidth="8.83203125" defaultRowHeight="15" x14ac:dyDescent="0.2"/>
  <cols>
    <col min="1" max="2" width="18" customWidth="1"/>
    <col min="3" max="3" width="40" customWidth="1"/>
    <col min="4" max="10" width="18" customWidth="1"/>
  </cols>
  <sheetData>
    <row r="1" spans="1:10" ht="32" x14ac:dyDescent="0.2">
      <c r="A1" s="2" t="s">
        <v>209</v>
      </c>
      <c r="B1" s="2" t="s">
        <v>275</v>
      </c>
      <c r="C1" s="2" t="s">
        <v>62</v>
      </c>
      <c r="D1" s="2" t="s">
        <v>276</v>
      </c>
      <c r="E1" s="2" t="s">
        <v>277</v>
      </c>
      <c r="F1" s="2" t="s">
        <v>278</v>
      </c>
      <c r="G1" s="2" t="s">
        <v>279</v>
      </c>
      <c r="H1" s="2" t="s">
        <v>280</v>
      </c>
      <c r="I1" s="2" t="s">
        <v>281</v>
      </c>
      <c r="J1" s="2" t="s">
        <v>282</v>
      </c>
    </row>
    <row r="2" spans="1:10" ht="40" x14ac:dyDescent="0.2">
      <c r="A2" s="11" t="s">
        <v>283</v>
      </c>
      <c r="B2" s="11" t="s">
        <v>284</v>
      </c>
      <c r="C2" s="11" t="s">
        <v>233</v>
      </c>
      <c r="D2" s="11" t="s">
        <v>285</v>
      </c>
      <c r="E2" s="11" t="s">
        <v>286</v>
      </c>
      <c r="F2" s="11" t="s">
        <v>287</v>
      </c>
      <c r="G2" s="11" t="s">
        <v>288</v>
      </c>
      <c r="H2" s="11" t="s">
        <v>289</v>
      </c>
      <c r="I2" s="11" t="s">
        <v>290</v>
      </c>
      <c r="J2" s="11" t="s">
        <v>291</v>
      </c>
    </row>
    <row r="3" spans="1:10" x14ac:dyDescent="0.2">
      <c r="A3" s="34" t="s">
        <v>171</v>
      </c>
      <c r="B3" s="34" t="s">
        <v>292</v>
      </c>
      <c r="C3" s="34"/>
      <c r="D3" s="34" t="s">
        <v>293</v>
      </c>
      <c r="E3" s="34"/>
      <c r="F3" s="34"/>
      <c r="G3" s="34" t="s">
        <v>294</v>
      </c>
      <c r="H3" s="34" t="s">
        <v>295</v>
      </c>
      <c r="I3" s="34" t="s">
        <v>296</v>
      </c>
      <c r="J3" s="34" t="s">
        <v>297</v>
      </c>
    </row>
    <row r="4" spans="1:10" x14ac:dyDescent="0.2">
      <c r="A4" t="s">
        <v>171</v>
      </c>
      <c r="B4" t="s">
        <v>298</v>
      </c>
      <c r="D4">
        <v>91</v>
      </c>
      <c r="G4">
        <v>240</v>
      </c>
      <c r="H4">
        <v>2</v>
      </c>
      <c r="I4">
        <v>0</v>
      </c>
      <c r="J4" t="s">
        <v>299</v>
      </c>
    </row>
    <row r="5" spans="1:10" ht="127" x14ac:dyDescent="0.2">
      <c r="A5" t="s">
        <v>191</v>
      </c>
      <c r="B5" t="s">
        <v>300</v>
      </c>
      <c r="C5" s="6" t="s">
        <v>301</v>
      </c>
      <c r="D5">
        <v>14</v>
      </c>
      <c r="G5">
        <v>4</v>
      </c>
      <c r="I5">
        <v>0.01</v>
      </c>
      <c r="J5" t="s">
        <v>297</v>
      </c>
    </row>
    <row r="6" spans="1:10" x14ac:dyDescent="0.2">
      <c r="A6" t="s">
        <v>198</v>
      </c>
      <c r="B6" t="s">
        <v>302</v>
      </c>
      <c r="D6">
        <v>75</v>
      </c>
      <c r="G6">
        <v>200</v>
      </c>
      <c r="H6">
        <v>1</v>
      </c>
      <c r="J6" t="s">
        <v>297</v>
      </c>
    </row>
    <row r="7" spans="1:10" x14ac:dyDescent="0.2">
      <c r="A7" t="s">
        <v>207</v>
      </c>
      <c r="B7" t="s">
        <v>303</v>
      </c>
      <c r="D7">
        <v>10</v>
      </c>
    </row>
  </sheetData>
  <pageMargins left="0.75" right="0.75" top="1" bottom="1" header="0.5" footer="0.5"/>
  <pageSetup paperSize="9" orientation="portrait"/>
  <extLst>
    <ext xmlns:x14="http://schemas.microsoft.com/office/spreadsheetml/2009/9/main" uri="{CCE6A557-97BC-4b89-ADB6-D9C93CAAB3DF}">
      <x14:dataValidations xmlns:xm="http://schemas.microsoft.com/office/excel/2006/main" count="2">
        <x14:dataValidation type="list" xr:uid="{00000000-0002-0000-0500-000000000000}">
          <x14:formula1>
            <xm:f>CV_Coordinate!$A$5:$A$25</xm:f>
          </x14:formula1>
          <xm:sqref>B4:B100</xm:sqref>
        </x14:dataValidation>
        <x14:dataValidation type="list" allowBlank="1" xr:uid="{00000000-0002-0000-0500-000001000000}">
          <x14:formula1>
            <xm:f>CV_VerticalUnits!$A$5:$A$7</xm:f>
          </x14:formula1>
          <xm:sqref>J4:J100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4"/>
  <sheetViews>
    <sheetView workbookViewId="0">
      <pane ySplit="3" topLeftCell="A4" activePane="bottomLeft" state="frozen"/>
      <selection pane="bottomLeft" activeCell="C11" sqref="C11"/>
    </sheetView>
  </sheetViews>
  <sheetFormatPr baseColWidth="10" defaultColWidth="8.83203125" defaultRowHeight="15" x14ac:dyDescent="0.2"/>
  <cols>
    <col min="1" max="1" width="15" customWidth="1"/>
    <col min="2" max="2" width="70" customWidth="1"/>
    <col min="3" max="3" width="40" customWidth="1"/>
  </cols>
  <sheetData>
    <row r="1" spans="1:3" x14ac:dyDescent="0.2">
      <c r="A1" s="42" t="s">
        <v>304</v>
      </c>
      <c r="B1" s="42" t="s">
        <v>305</v>
      </c>
      <c r="C1" s="42" t="s">
        <v>306</v>
      </c>
    </row>
    <row r="2" spans="1:3" x14ac:dyDescent="0.2">
      <c r="A2" s="43" t="s">
        <v>307</v>
      </c>
      <c r="B2" s="43" t="s">
        <v>308</v>
      </c>
      <c r="C2" s="43" t="s">
        <v>309</v>
      </c>
    </row>
    <row r="3" spans="1:3" x14ac:dyDescent="0.2">
      <c r="A3" s="34" t="s">
        <v>199</v>
      </c>
      <c r="B3" s="34" t="s">
        <v>310</v>
      </c>
      <c r="C3" s="34" t="s">
        <v>311</v>
      </c>
    </row>
    <row r="4" spans="1:3" x14ac:dyDescent="0.2">
      <c r="A4" t="s">
        <v>199</v>
      </c>
      <c r="B4" s="35" t="s">
        <v>312</v>
      </c>
      <c r="C4" s="44" t="s">
        <v>313</v>
      </c>
    </row>
    <row r="5" spans="1:3" x14ac:dyDescent="0.2">
      <c r="A5" t="s">
        <v>208</v>
      </c>
      <c r="B5" s="35" t="s">
        <v>314</v>
      </c>
      <c r="C5" s="44" t="s">
        <v>315</v>
      </c>
    </row>
    <row r="6" spans="1:3" ht="16" x14ac:dyDescent="0.2">
      <c r="A6" t="s">
        <v>316</v>
      </c>
      <c r="B6" s="45" t="s">
        <v>317</v>
      </c>
      <c r="C6" s="44" t="s">
        <v>318</v>
      </c>
    </row>
    <row r="7" spans="1:3" x14ac:dyDescent="0.2">
      <c r="A7" t="s">
        <v>177</v>
      </c>
      <c r="B7" s="44" t="s">
        <v>319</v>
      </c>
      <c r="C7" s="44" t="s">
        <v>320</v>
      </c>
    </row>
    <row r="8" spans="1:3" x14ac:dyDescent="0.2">
      <c r="A8" t="s">
        <v>182</v>
      </c>
      <c r="B8" s="44" t="s">
        <v>321</v>
      </c>
      <c r="C8" s="44" t="s">
        <v>322</v>
      </c>
    </row>
    <row r="9" spans="1:3" x14ac:dyDescent="0.2">
      <c r="A9" t="s">
        <v>323</v>
      </c>
      <c r="B9" s="46" t="s">
        <v>324</v>
      </c>
      <c r="C9" s="44" t="s">
        <v>325</v>
      </c>
    </row>
    <row r="10" spans="1:3" x14ac:dyDescent="0.2">
      <c r="A10" t="s">
        <v>326</v>
      </c>
      <c r="B10" s="46" t="s">
        <v>327</v>
      </c>
      <c r="C10" s="44" t="s">
        <v>328</v>
      </c>
    </row>
    <row r="11" spans="1:3" x14ac:dyDescent="0.2">
      <c r="A11" t="s">
        <v>329</v>
      </c>
      <c r="B11" s="46" t="s">
        <v>330</v>
      </c>
      <c r="C11" s="44" t="s">
        <v>331</v>
      </c>
    </row>
    <row r="12" spans="1:3" x14ac:dyDescent="0.2">
      <c r="A12" t="s">
        <v>332</v>
      </c>
      <c r="B12" s="44" t="s">
        <v>333</v>
      </c>
      <c r="C12" s="44" t="s">
        <v>334</v>
      </c>
    </row>
    <row r="13" spans="1:3" x14ac:dyDescent="0.2">
      <c r="A13" t="s">
        <v>335</v>
      </c>
      <c r="B13" s="44" t="s">
        <v>336</v>
      </c>
      <c r="C13" s="44" t="s">
        <v>337</v>
      </c>
    </row>
    <row r="14" spans="1:3" x14ac:dyDescent="0.2">
      <c r="A14" t="s">
        <v>338</v>
      </c>
      <c r="B14" s="44" t="s">
        <v>339</v>
      </c>
      <c r="C14" s="44" t="s">
        <v>340</v>
      </c>
    </row>
  </sheetData>
  <hyperlinks>
    <hyperlink ref="C4" r:id="rId1" xr:uid="{00000000-0004-0000-0600-000000000000}"/>
    <hyperlink ref="C5" r:id="rId2" xr:uid="{00000000-0004-0000-0600-000001000000}"/>
    <hyperlink ref="C6" r:id="rId3" xr:uid="{00000000-0004-0000-0600-000002000000}"/>
    <hyperlink ref="B7" r:id="rId4" xr:uid="{00000000-0004-0000-0600-000003000000}"/>
    <hyperlink ref="C7" r:id="rId5" xr:uid="{00000000-0004-0000-0600-000004000000}"/>
    <hyperlink ref="B8" r:id="rId6" xr:uid="{00000000-0004-0000-0600-000005000000}"/>
    <hyperlink ref="C8" r:id="rId7" xr:uid="{00000000-0004-0000-0600-000006000000}"/>
    <hyperlink ref="C9" r:id="rId8" xr:uid="{00000000-0004-0000-0600-000007000000}"/>
    <hyperlink ref="C10" r:id="rId9" xr:uid="{00000000-0004-0000-0600-000008000000}"/>
    <hyperlink ref="C11" r:id="rId10" xr:uid="{00000000-0004-0000-0600-000009000000}"/>
    <hyperlink ref="B12" r:id="rId11" xr:uid="{00000000-0004-0000-0600-00000A000000}"/>
    <hyperlink ref="C12" r:id="rId12" xr:uid="{00000000-0004-0000-0600-00000B000000}"/>
    <hyperlink ref="B13" r:id="rId13" xr:uid="{00000000-0004-0000-0600-00000C000000}"/>
    <hyperlink ref="C13" r:id="rId14" xr:uid="{00000000-0004-0000-0600-00000D000000}"/>
    <hyperlink ref="B14" r:id="rId15" xr:uid="{00000000-0004-0000-0600-00000E000000}"/>
    <hyperlink ref="C14" r:id="rId16" xr:uid="{00000000-0004-0000-0600-00000F000000}"/>
  </hyperlinks>
  <pageMargins left="0.75" right="0.75" top="1" bottom="1" header="0.5" footer="0.5"/>
  <pageSetup paperSize="9" orientation="portrait"/>
  <legacyDrawing r:id="rId1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2"/>
  <sheetViews>
    <sheetView workbookViewId="0"/>
  </sheetViews>
  <sheetFormatPr baseColWidth="10" defaultColWidth="8.83203125" defaultRowHeight="15" x14ac:dyDescent="0.2"/>
  <cols>
    <col min="1" max="1" width="45" customWidth="1"/>
    <col min="2" max="2" width="70" customWidth="1"/>
  </cols>
  <sheetData>
    <row r="1" spans="1:2" ht="19" x14ac:dyDescent="0.25">
      <c r="A1" s="47" t="s">
        <v>341</v>
      </c>
    </row>
    <row r="2" spans="1:2" x14ac:dyDescent="0.2">
      <c r="A2" s="48" t="s">
        <v>342</v>
      </c>
    </row>
    <row r="4" spans="1:2" x14ac:dyDescent="0.2">
      <c r="A4" s="49" t="s">
        <v>39</v>
      </c>
      <c r="B4" s="49" t="s">
        <v>40</v>
      </c>
    </row>
    <row r="5" spans="1:2" x14ac:dyDescent="0.2">
      <c r="A5" s="50" t="s">
        <v>61</v>
      </c>
      <c r="B5" t="s">
        <v>343</v>
      </c>
    </row>
    <row r="6" spans="1:2" x14ac:dyDescent="0.2">
      <c r="A6" s="50" t="s">
        <v>127</v>
      </c>
      <c r="B6" t="s">
        <v>344</v>
      </c>
    </row>
    <row r="7" spans="1:2" x14ac:dyDescent="0.2">
      <c r="A7" s="50" t="s">
        <v>57</v>
      </c>
      <c r="B7" t="s">
        <v>345</v>
      </c>
    </row>
    <row r="8" spans="1:2" x14ac:dyDescent="0.2">
      <c r="A8" s="50" t="s">
        <v>128</v>
      </c>
      <c r="B8" t="s">
        <v>346</v>
      </c>
    </row>
    <row r="9" spans="1:2" x14ac:dyDescent="0.2">
      <c r="A9" s="50" t="s">
        <v>129</v>
      </c>
      <c r="B9" t="s">
        <v>347</v>
      </c>
    </row>
    <row r="10" spans="1:2" x14ac:dyDescent="0.2">
      <c r="A10" s="50" t="s">
        <v>130</v>
      </c>
      <c r="B10" t="s">
        <v>348</v>
      </c>
    </row>
    <row r="11" spans="1:2" x14ac:dyDescent="0.2">
      <c r="A11" s="50" t="s">
        <v>131</v>
      </c>
      <c r="B11" t="s">
        <v>349</v>
      </c>
    </row>
    <row r="12" spans="1:2" x14ac:dyDescent="0.2">
      <c r="A12" s="50" t="s">
        <v>132</v>
      </c>
      <c r="B12" t="s">
        <v>350</v>
      </c>
    </row>
  </sheetData>
  <pageMargins left="0.75" right="0.75" top="1" bottom="1" header="0.5" footer="0.5"/>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1"/>
  <sheetViews>
    <sheetView workbookViewId="0"/>
  </sheetViews>
  <sheetFormatPr baseColWidth="10" defaultColWidth="8.83203125" defaultRowHeight="15" x14ac:dyDescent="0.2"/>
  <cols>
    <col min="1" max="1" width="45" customWidth="1"/>
    <col min="2" max="2" width="70" customWidth="1"/>
  </cols>
  <sheetData>
    <row r="1" spans="1:2" ht="19" x14ac:dyDescent="0.25">
      <c r="A1" s="47" t="s">
        <v>351</v>
      </c>
    </row>
    <row r="2" spans="1:2" x14ac:dyDescent="0.2">
      <c r="A2" s="48" t="s">
        <v>352</v>
      </c>
    </row>
    <row r="4" spans="1:2" x14ac:dyDescent="0.2">
      <c r="A4" s="49" t="s">
        <v>39</v>
      </c>
      <c r="B4" s="49" t="s">
        <v>40</v>
      </c>
    </row>
    <row r="5" spans="1:2" x14ac:dyDescent="0.2">
      <c r="A5" s="50" t="s">
        <v>67</v>
      </c>
      <c r="B5" t="s">
        <v>353</v>
      </c>
    </row>
    <row r="6" spans="1:2" x14ac:dyDescent="0.2">
      <c r="A6" s="50" t="s">
        <v>354</v>
      </c>
      <c r="B6" t="s">
        <v>355</v>
      </c>
    </row>
    <row r="7" spans="1:2" x14ac:dyDescent="0.2">
      <c r="A7" s="50" t="s">
        <v>356</v>
      </c>
      <c r="B7" t="s">
        <v>357</v>
      </c>
    </row>
    <row r="8" spans="1:2" x14ac:dyDescent="0.2">
      <c r="A8" s="50" t="s">
        <v>358</v>
      </c>
      <c r="B8" t="s">
        <v>359</v>
      </c>
    </row>
    <row r="9" spans="1:2" x14ac:dyDescent="0.2">
      <c r="A9" s="50" t="s">
        <v>360</v>
      </c>
      <c r="B9" t="s">
        <v>361</v>
      </c>
    </row>
    <row r="10" spans="1:2" x14ac:dyDescent="0.2">
      <c r="A10" s="50" t="s">
        <v>362</v>
      </c>
      <c r="B10" t="s">
        <v>363</v>
      </c>
    </row>
    <row r="11" spans="1:2" x14ac:dyDescent="0.2">
      <c r="A11" s="50" t="s">
        <v>174</v>
      </c>
      <c r="B11" t="s">
        <v>364</v>
      </c>
    </row>
  </sheetData>
  <pageMargins left="0.75" right="0.75" top="1" bottom="1" header="0.5" footer="0.5"/>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4"/>
  <sheetViews>
    <sheetView workbookViewId="0"/>
  </sheetViews>
  <sheetFormatPr baseColWidth="10" defaultColWidth="8.83203125" defaultRowHeight="15" x14ac:dyDescent="0.2"/>
  <cols>
    <col min="1" max="1" width="45" customWidth="1"/>
    <col min="2" max="2" width="70" customWidth="1"/>
  </cols>
  <sheetData>
    <row r="1" spans="1:2" ht="19" x14ac:dyDescent="0.25">
      <c r="A1" s="47" t="s">
        <v>365</v>
      </c>
    </row>
    <row r="2" spans="1:2" x14ac:dyDescent="0.2">
      <c r="A2" s="48" t="s">
        <v>366</v>
      </c>
    </row>
    <row r="4" spans="1:2" x14ac:dyDescent="0.2">
      <c r="A4" s="49" t="s">
        <v>39</v>
      </c>
      <c r="B4" s="49" t="s">
        <v>40</v>
      </c>
    </row>
    <row r="5" spans="1:2" x14ac:dyDescent="0.2">
      <c r="A5" s="50" t="s">
        <v>252</v>
      </c>
      <c r="B5" t="s">
        <v>367</v>
      </c>
    </row>
    <row r="6" spans="1:2" x14ac:dyDescent="0.2">
      <c r="A6" s="50" t="s">
        <v>368</v>
      </c>
      <c r="B6" t="s">
        <v>369</v>
      </c>
    </row>
    <row r="7" spans="1:2" x14ac:dyDescent="0.2">
      <c r="A7" s="50" t="s">
        <v>370</v>
      </c>
      <c r="B7" t="s">
        <v>371</v>
      </c>
    </row>
    <row r="8" spans="1:2" x14ac:dyDescent="0.2">
      <c r="A8" s="50" t="s">
        <v>372</v>
      </c>
      <c r="B8" t="s">
        <v>373</v>
      </c>
    </row>
    <row r="9" spans="1:2" x14ac:dyDescent="0.2">
      <c r="A9" s="50" t="s">
        <v>374</v>
      </c>
      <c r="B9" t="s">
        <v>375</v>
      </c>
    </row>
    <row r="10" spans="1:2" x14ac:dyDescent="0.2">
      <c r="A10" s="50" t="s">
        <v>269</v>
      </c>
      <c r="B10" t="s">
        <v>376</v>
      </c>
    </row>
    <row r="11" spans="1:2" x14ac:dyDescent="0.2">
      <c r="A11" s="50" t="s">
        <v>377</v>
      </c>
      <c r="B11" t="s">
        <v>378</v>
      </c>
    </row>
    <row r="12" spans="1:2" x14ac:dyDescent="0.2">
      <c r="A12" s="50" t="s">
        <v>379</v>
      </c>
      <c r="B12" t="s">
        <v>380</v>
      </c>
    </row>
    <row r="13" spans="1:2" x14ac:dyDescent="0.2">
      <c r="A13" s="50" t="s">
        <v>381</v>
      </c>
      <c r="B13" t="s">
        <v>382</v>
      </c>
    </row>
    <row r="14" spans="1:2" x14ac:dyDescent="0.2">
      <c r="A14" s="50" t="s">
        <v>383</v>
      </c>
      <c r="B14" t="s">
        <v>384</v>
      </c>
    </row>
    <row r="15" spans="1:2" x14ac:dyDescent="0.2">
      <c r="A15" s="50" t="s">
        <v>385</v>
      </c>
      <c r="B15" t="s">
        <v>386</v>
      </c>
    </row>
    <row r="16" spans="1:2" x14ac:dyDescent="0.2">
      <c r="A16" s="50" t="s">
        <v>273</v>
      </c>
      <c r="B16" t="s">
        <v>387</v>
      </c>
    </row>
    <row r="17" spans="1:2" x14ac:dyDescent="0.2">
      <c r="A17" s="50" t="s">
        <v>388</v>
      </c>
      <c r="B17" t="s">
        <v>389</v>
      </c>
    </row>
    <row r="18" spans="1:2" x14ac:dyDescent="0.2">
      <c r="A18" s="50" t="s">
        <v>390</v>
      </c>
      <c r="B18" t="s">
        <v>391</v>
      </c>
    </row>
    <row r="19" spans="1:2" x14ac:dyDescent="0.2">
      <c r="A19" s="50" t="s">
        <v>392</v>
      </c>
      <c r="B19" t="s">
        <v>393</v>
      </c>
    </row>
    <row r="20" spans="1:2" x14ac:dyDescent="0.2">
      <c r="A20" s="50" t="s">
        <v>394</v>
      </c>
      <c r="B20" t="s">
        <v>395</v>
      </c>
    </row>
    <row r="21" spans="1:2" x14ac:dyDescent="0.2">
      <c r="A21" s="50" t="s">
        <v>396</v>
      </c>
      <c r="B21" t="s">
        <v>397</v>
      </c>
    </row>
    <row r="22" spans="1:2" x14ac:dyDescent="0.2">
      <c r="A22" s="50" t="s">
        <v>398</v>
      </c>
      <c r="B22" t="s">
        <v>399</v>
      </c>
    </row>
    <row r="23" spans="1:2" x14ac:dyDescent="0.2">
      <c r="A23" s="50" t="s">
        <v>400</v>
      </c>
      <c r="B23" t="s">
        <v>401</v>
      </c>
    </row>
    <row r="24" spans="1:2" x14ac:dyDescent="0.2">
      <c r="A24" s="50" t="s">
        <v>174</v>
      </c>
      <c r="B24" t="s">
        <v>402</v>
      </c>
    </row>
  </sheetData>
  <pageMargins left="0.75" right="0.75" top="1" bottom="1" header="0.5" footer="0.5"/>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18"/>
  <sheetViews>
    <sheetView workbookViewId="0"/>
  </sheetViews>
  <sheetFormatPr baseColWidth="10" defaultColWidth="8.83203125" defaultRowHeight="15" x14ac:dyDescent="0.2"/>
  <cols>
    <col min="1" max="1" width="45" customWidth="1"/>
  </cols>
  <sheetData>
    <row r="1" spans="1:1" ht="19" x14ac:dyDescent="0.25">
      <c r="A1" s="47" t="s">
        <v>403</v>
      </c>
    </row>
    <row r="2" spans="1:1" x14ac:dyDescent="0.2">
      <c r="A2" s="48" t="s">
        <v>404</v>
      </c>
    </row>
    <row r="4" spans="1:1" x14ac:dyDescent="0.2">
      <c r="A4" s="49" t="s">
        <v>39</v>
      </c>
    </row>
    <row r="5" spans="1:1" x14ac:dyDescent="0.2">
      <c r="A5" s="50" t="s">
        <v>405</v>
      </c>
    </row>
    <row r="6" spans="1:1" x14ac:dyDescent="0.2">
      <c r="A6" s="50" t="s">
        <v>406</v>
      </c>
    </row>
    <row r="7" spans="1:1" x14ac:dyDescent="0.2">
      <c r="A7" s="50" t="s">
        <v>407</v>
      </c>
    </row>
    <row r="8" spans="1:1" x14ac:dyDescent="0.2">
      <c r="A8" s="50" t="s">
        <v>408</v>
      </c>
    </row>
    <row r="9" spans="1:1" x14ac:dyDescent="0.2">
      <c r="A9" s="50" t="s">
        <v>409</v>
      </c>
    </row>
    <row r="10" spans="1:1" x14ac:dyDescent="0.2">
      <c r="A10" s="50" t="s">
        <v>410</v>
      </c>
    </row>
    <row r="11" spans="1:1" x14ac:dyDescent="0.2">
      <c r="A11" s="50" t="s">
        <v>253</v>
      </c>
    </row>
    <row r="12" spans="1:1" x14ac:dyDescent="0.2">
      <c r="A12" s="50" t="s">
        <v>411</v>
      </c>
    </row>
    <row r="13" spans="1:1" x14ac:dyDescent="0.2">
      <c r="A13" s="50" t="s">
        <v>412</v>
      </c>
    </row>
    <row r="14" spans="1:1" x14ac:dyDescent="0.2">
      <c r="A14" s="50" t="s">
        <v>413</v>
      </c>
    </row>
    <row r="15" spans="1:1" x14ac:dyDescent="0.2">
      <c r="A15" s="50" t="s">
        <v>414</v>
      </c>
    </row>
    <row r="16" spans="1:1" x14ac:dyDescent="0.2">
      <c r="A16" s="50" t="s">
        <v>415</v>
      </c>
    </row>
    <row r="17" spans="1:1" x14ac:dyDescent="0.2">
      <c r="A17" s="50" t="s">
        <v>416</v>
      </c>
    </row>
    <row r="18" spans="1:1" x14ac:dyDescent="0.2">
      <c r="A18" s="50" t="s">
        <v>417</v>
      </c>
    </row>
  </sheetData>
  <pageMargins left="0.75" right="0.75" top="1" bottom="1" header="0.5" footer="0.5"/>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8"/>
  <sheetViews>
    <sheetView workbookViewId="0"/>
  </sheetViews>
  <sheetFormatPr baseColWidth="10" defaultColWidth="8.83203125" defaultRowHeight="15" x14ac:dyDescent="0.2"/>
  <cols>
    <col min="1" max="1" width="45" customWidth="1"/>
    <col min="2" max="2" width="70" customWidth="1"/>
  </cols>
  <sheetData>
    <row r="1" spans="1:2" ht="19" x14ac:dyDescent="0.25">
      <c r="A1" s="47" t="s">
        <v>418</v>
      </c>
    </row>
    <row r="2" spans="1:2" x14ac:dyDescent="0.2">
      <c r="A2" s="48" t="s">
        <v>419</v>
      </c>
    </row>
    <row r="4" spans="1:2" x14ac:dyDescent="0.2">
      <c r="A4" s="49" t="s">
        <v>39</v>
      </c>
      <c r="B4" s="49" t="s">
        <v>40</v>
      </c>
    </row>
    <row r="5" spans="1:2" x14ac:dyDescent="0.2">
      <c r="A5" s="50" t="s">
        <v>420</v>
      </c>
      <c r="B5" t="s">
        <v>421</v>
      </c>
    </row>
    <row r="6" spans="1:2" x14ac:dyDescent="0.2">
      <c r="A6" s="50" t="s">
        <v>254</v>
      </c>
      <c r="B6" t="s">
        <v>422</v>
      </c>
    </row>
    <row r="7" spans="1:2" x14ac:dyDescent="0.2">
      <c r="A7" s="50" t="s">
        <v>423</v>
      </c>
      <c r="B7" t="s">
        <v>424</v>
      </c>
    </row>
    <row r="8" spans="1:2" x14ac:dyDescent="0.2">
      <c r="A8" s="50" t="s">
        <v>425</v>
      </c>
      <c r="B8" t="s">
        <v>426</v>
      </c>
    </row>
  </sheetData>
  <pageMargins left="0.75" right="0.75" top="1" bottom="1" header="0.5" footer="0.5"/>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7"/>
  <sheetViews>
    <sheetView workbookViewId="0"/>
  </sheetViews>
  <sheetFormatPr baseColWidth="10" defaultColWidth="8.83203125" defaultRowHeight="15" x14ac:dyDescent="0.2"/>
  <cols>
    <col min="1" max="1" width="45" customWidth="1"/>
    <col min="2" max="2" width="70" customWidth="1"/>
  </cols>
  <sheetData>
    <row r="1" spans="1:2" ht="19" x14ac:dyDescent="0.25">
      <c r="A1" s="47" t="s">
        <v>427</v>
      </c>
    </row>
    <row r="2" spans="1:2" x14ac:dyDescent="0.2">
      <c r="A2" s="48" t="s">
        <v>428</v>
      </c>
    </row>
    <row r="4" spans="1:2" x14ac:dyDescent="0.2">
      <c r="A4" s="49" t="s">
        <v>39</v>
      </c>
      <c r="B4" s="49" t="s">
        <v>40</v>
      </c>
    </row>
    <row r="5" spans="1:2" x14ac:dyDescent="0.2">
      <c r="A5" s="50" t="s">
        <v>255</v>
      </c>
      <c r="B5" t="s">
        <v>429</v>
      </c>
    </row>
    <row r="6" spans="1:2" x14ac:dyDescent="0.2">
      <c r="A6" s="50" t="s">
        <v>430</v>
      </c>
      <c r="B6" t="s">
        <v>431</v>
      </c>
    </row>
    <row r="7" spans="1:2" x14ac:dyDescent="0.2">
      <c r="A7" s="50" t="s">
        <v>432</v>
      </c>
      <c r="B7" t="s">
        <v>433</v>
      </c>
    </row>
  </sheetData>
  <pageMargins left="0.75" right="0.75" top="1" bottom="1" header="0.5" footer="0.5"/>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9"/>
  <sheetViews>
    <sheetView workbookViewId="0"/>
  </sheetViews>
  <sheetFormatPr baseColWidth="10" defaultColWidth="8.83203125" defaultRowHeight="15" x14ac:dyDescent="0.2"/>
  <cols>
    <col min="1" max="1" width="45" customWidth="1"/>
    <col min="2" max="2" width="70" customWidth="1"/>
  </cols>
  <sheetData>
    <row r="1" spans="1:2" ht="19" x14ac:dyDescent="0.25">
      <c r="A1" s="47" t="s">
        <v>434</v>
      </c>
    </row>
    <row r="2" spans="1:2" x14ac:dyDescent="0.2">
      <c r="A2" s="48" t="s">
        <v>435</v>
      </c>
    </row>
    <row r="4" spans="1:2" x14ac:dyDescent="0.2">
      <c r="A4" s="49" t="s">
        <v>39</v>
      </c>
      <c r="B4" s="49" t="s">
        <v>40</v>
      </c>
    </row>
    <row r="5" spans="1:2" x14ac:dyDescent="0.2">
      <c r="A5" s="50" t="s">
        <v>270</v>
      </c>
      <c r="B5" t="s">
        <v>436</v>
      </c>
    </row>
    <row r="6" spans="1:2" x14ac:dyDescent="0.2">
      <c r="A6" s="50" t="s">
        <v>437</v>
      </c>
      <c r="B6" t="s">
        <v>438</v>
      </c>
    </row>
    <row r="7" spans="1:2" x14ac:dyDescent="0.2">
      <c r="A7" s="50" t="s">
        <v>256</v>
      </c>
      <c r="B7" t="s">
        <v>439</v>
      </c>
    </row>
    <row r="8" spans="1:2" x14ac:dyDescent="0.2">
      <c r="A8" s="50" t="s">
        <v>440</v>
      </c>
      <c r="B8" t="s">
        <v>441</v>
      </c>
    </row>
    <row r="9" spans="1:2" x14ac:dyDescent="0.2">
      <c r="A9" s="50" t="s">
        <v>442</v>
      </c>
      <c r="B9" t="s">
        <v>443</v>
      </c>
    </row>
  </sheetData>
  <pageMargins left="0.75" right="0.75" top="1" bottom="1" header="0.5" footer="0.5"/>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7"/>
  <sheetViews>
    <sheetView workbookViewId="0"/>
  </sheetViews>
  <sheetFormatPr baseColWidth="10" defaultColWidth="8.83203125" defaultRowHeight="15" x14ac:dyDescent="0.2"/>
  <cols>
    <col min="1" max="1" width="45" customWidth="1"/>
    <col min="2" max="2" width="70" customWidth="1"/>
  </cols>
  <sheetData>
    <row r="1" spans="1:2" ht="19" x14ac:dyDescent="0.25">
      <c r="A1" s="47" t="s">
        <v>444</v>
      </c>
    </row>
    <row r="2" spans="1:2" x14ac:dyDescent="0.2">
      <c r="A2" s="48" t="s">
        <v>445</v>
      </c>
    </row>
    <row r="4" spans="1:2" x14ac:dyDescent="0.2">
      <c r="A4" s="49" t="s">
        <v>39</v>
      </c>
      <c r="B4" s="49" t="s">
        <v>40</v>
      </c>
    </row>
    <row r="5" spans="1:2" x14ac:dyDescent="0.2">
      <c r="A5" s="50" t="s">
        <v>257</v>
      </c>
      <c r="B5" t="s">
        <v>446</v>
      </c>
    </row>
    <row r="6" spans="1:2" x14ac:dyDescent="0.2">
      <c r="A6" s="50" t="s">
        <v>447</v>
      </c>
      <c r="B6" t="s">
        <v>448</v>
      </c>
    </row>
    <row r="7" spans="1:2" x14ac:dyDescent="0.2">
      <c r="A7" s="50" t="s">
        <v>449</v>
      </c>
      <c r="B7" t="s">
        <v>450</v>
      </c>
    </row>
  </sheetData>
  <pageMargins left="0.75" right="0.75" top="1" bottom="1" header="0.5" footer="0.5"/>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7"/>
  <sheetViews>
    <sheetView workbookViewId="0"/>
  </sheetViews>
  <sheetFormatPr baseColWidth="10" defaultColWidth="8.83203125" defaultRowHeight="15" x14ac:dyDescent="0.2"/>
  <cols>
    <col min="1" max="1" width="45" customWidth="1"/>
    <col min="2" max="2" width="70" customWidth="1"/>
  </cols>
  <sheetData>
    <row r="1" spans="1:2" ht="19" x14ac:dyDescent="0.25">
      <c r="A1" s="47" t="s">
        <v>451</v>
      </c>
    </row>
    <row r="2" spans="1:2" x14ac:dyDescent="0.2">
      <c r="A2" s="48" t="s">
        <v>452</v>
      </c>
    </row>
    <row r="4" spans="1:2" x14ac:dyDescent="0.2">
      <c r="A4" s="49" t="s">
        <v>39</v>
      </c>
      <c r="B4" s="49" t="s">
        <v>40</v>
      </c>
    </row>
    <row r="5" spans="1:2" x14ac:dyDescent="0.2">
      <c r="A5" s="50" t="s">
        <v>453</v>
      </c>
      <c r="B5" t="s">
        <v>454</v>
      </c>
    </row>
    <row r="6" spans="1:2" x14ac:dyDescent="0.2">
      <c r="A6" s="50" t="s">
        <v>455</v>
      </c>
      <c r="B6" t="s">
        <v>456</v>
      </c>
    </row>
    <row r="7" spans="1:2" x14ac:dyDescent="0.2">
      <c r="A7" s="50" t="s">
        <v>457</v>
      </c>
      <c r="B7" t="s">
        <v>458</v>
      </c>
    </row>
  </sheetData>
  <pageMargins left="0.75" right="0.75" top="1" bottom="1" header="0.5" footer="0.5"/>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6"/>
  <sheetViews>
    <sheetView workbookViewId="0"/>
  </sheetViews>
  <sheetFormatPr baseColWidth="10" defaultColWidth="8.83203125" defaultRowHeight="15" x14ac:dyDescent="0.2"/>
  <cols>
    <col min="1" max="1" width="45" customWidth="1"/>
    <col min="2" max="2" width="70" customWidth="1"/>
  </cols>
  <sheetData>
    <row r="1" spans="1:2" ht="19" x14ac:dyDescent="0.25">
      <c r="A1" s="47" t="s">
        <v>459</v>
      </c>
    </row>
    <row r="2" spans="1:2" x14ac:dyDescent="0.2">
      <c r="A2" s="48" t="s">
        <v>460</v>
      </c>
    </row>
    <row r="4" spans="1:2" x14ac:dyDescent="0.2">
      <c r="A4" s="49" t="s">
        <v>39</v>
      </c>
      <c r="B4" s="49" t="s">
        <v>40</v>
      </c>
    </row>
    <row r="5" spans="1:2" x14ac:dyDescent="0.2">
      <c r="A5" s="50" t="s">
        <v>461</v>
      </c>
      <c r="B5" t="s">
        <v>462</v>
      </c>
    </row>
    <row r="6" spans="1:2" x14ac:dyDescent="0.2">
      <c r="A6" s="50" t="s">
        <v>260</v>
      </c>
      <c r="B6" t="s">
        <v>463</v>
      </c>
    </row>
  </sheetData>
  <pageMargins left="0.75" right="0.75" top="1" bottom="1" header="0.5" footer="0.5"/>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6"/>
  <sheetViews>
    <sheetView workbookViewId="0"/>
  </sheetViews>
  <sheetFormatPr baseColWidth="10" defaultColWidth="8.83203125" defaultRowHeight="15" x14ac:dyDescent="0.2"/>
  <cols>
    <col min="1" max="1" width="45" customWidth="1"/>
    <col min="2" max="2" width="70" customWidth="1"/>
  </cols>
  <sheetData>
    <row r="1" spans="1:2" ht="19" x14ac:dyDescent="0.25">
      <c r="A1" s="47" t="s">
        <v>464</v>
      </c>
    </row>
    <row r="2" spans="1:2" x14ac:dyDescent="0.2">
      <c r="A2" s="48" t="s">
        <v>465</v>
      </c>
    </row>
    <row r="4" spans="1:2" x14ac:dyDescent="0.2">
      <c r="A4" s="49" t="s">
        <v>39</v>
      </c>
      <c r="B4" s="49" t="s">
        <v>40</v>
      </c>
    </row>
    <row r="5" spans="1:2" x14ac:dyDescent="0.2">
      <c r="A5" s="50" t="s">
        <v>271</v>
      </c>
      <c r="B5" t="s">
        <v>466</v>
      </c>
    </row>
    <row r="6" spans="1:2" x14ac:dyDescent="0.2">
      <c r="A6" s="50" t="s">
        <v>467</v>
      </c>
      <c r="B6" t="s">
        <v>468</v>
      </c>
    </row>
  </sheetData>
  <pageMargins left="0.75" right="0.75" top="1" bottom="1" header="0.5" footer="0.5"/>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1"/>
  <sheetViews>
    <sheetView workbookViewId="0"/>
  </sheetViews>
  <sheetFormatPr baseColWidth="10" defaultColWidth="8.83203125" defaultRowHeight="15" x14ac:dyDescent="0.2"/>
  <cols>
    <col min="1" max="1" width="45" customWidth="1"/>
    <col min="2" max="2" width="70" customWidth="1"/>
  </cols>
  <sheetData>
    <row r="1" spans="1:2" ht="19" x14ac:dyDescent="0.25">
      <c r="A1" s="47" t="s">
        <v>469</v>
      </c>
    </row>
    <row r="2" spans="1:2" x14ac:dyDescent="0.2">
      <c r="A2" s="48" t="s">
        <v>470</v>
      </c>
    </row>
    <row r="4" spans="1:2" x14ac:dyDescent="0.2">
      <c r="A4" s="49" t="s">
        <v>471</v>
      </c>
      <c r="B4" s="49" t="s">
        <v>229</v>
      </c>
    </row>
    <row r="5" spans="1:2" x14ac:dyDescent="0.2">
      <c r="A5" s="50" t="s">
        <v>472</v>
      </c>
      <c r="B5" t="s">
        <v>473</v>
      </c>
    </row>
    <row r="6" spans="1:2" x14ac:dyDescent="0.2">
      <c r="A6" s="50" t="s">
        <v>474</v>
      </c>
      <c r="B6" t="s">
        <v>475</v>
      </c>
    </row>
    <row r="7" spans="1:2" x14ac:dyDescent="0.2">
      <c r="A7" s="50" t="s">
        <v>476</v>
      </c>
      <c r="B7" t="s">
        <v>477</v>
      </c>
    </row>
    <row r="8" spans="1:2" x14ac:dyDescent="0.2">
      <c r="A8" s="50" t="s">
        <v>478</v>
      </c>
      <c r="B8" t="s">
        <v>479</v>
      </c>
    </row>
    <row r="9" spans="1:2" x14ac:dyDescent="0.2">
      <c r="A9" s="50" t="s">
        <v>480</v>
      </c>
      <c r="B9" t="s">
        <v>481</v>
      </c>
    </row>
    <row r="10" spans="1:2" x14ac:dyDescent="0.2">
      <c r="A10" s="50" t="s">
        <v>482</v>
      </c>
      <c r="B10" t="s">
        <v>483</v>
      </c>
    </row>
    <row r="11" spans="1:2" x14ac:dyDescent="0.2">
      <c r="A11" s="50" t="s">
        <v>484</v>
      </c>
      <c r="B11" t="s">
        <v>485</v>
      </c>
    </row>
    <row r="12" spans="1:2" x14ac:dyDescent="0.2">
      <c r="A12" s="50" t="s">
        <v>486</v>
      </c>
      <c r="B12" t="s">
        <v>487</v>
      </c>
    </row>
    <row r="13" spans="1:2" x14ac:dyDescent="0.2">
      <c r="A13" s="50" t="s">
        <v>488</v>
      </c>
      <c r="B13" t="s">
        <v>489</v>
      </c>
    </row>
    <row r="14" spans="1:2" x14ac:dyDescent="0.2">
      <c r="A14" s="50" t="s">
        <v>490</v>
      </c>
      <c r="B14" t="s">
        <v>491</v>
      </c>
    </row>
    <row r="15" spans="1:2" x14ac:dyDescent="0.2">
      <c r="A15" s="50" t="s">
        <v>492</v>
      </c>
      <c r="B15" t="s">
        <v>267</v>
      </c>
    </row>
    <row r="16" spans="1:2" x14ac:dyDescent="0.2">
      <c r="A16" s="50" t="s">
        <v>493</v>
      </c>
      <c r="B16" t="s">
        <v>494</v>
      </c>
    </row>
    <row r="17" spans="1:2" x14ac:dyDescent="0.2">
      <c r="A17" s="50" t="s">
        <v>495</v>
      </c>
      <c r="B17" t="s">
        <v>496</v>
      </c>
    </row>
    <row r="18" spans="1:2" x14ac:dyDescent="0.2">
      <c r="A18" s="50" t="s">
        <v>497</v>
      </c>
      <c r="B18" t="s">
        <v>498</v>
      </c>
    </row>
    <row r="19" spans="1:2" x14ac:dyDescent="0.2">
      <c r="A19" s="50" t="s">
        <v>499</v>
      </c>
      <c r="B19" t="s">
        <v>500</v>
      </c>
    </row>
    <row r="20" spans="1:2" x14ac:dyDescent="0.2">
      <c r="A20" s="50" t="s">
        <v>501</v>
      </c>
      <c r="B20" t="s">
        <v>502</v>
      </c>
    </row>
    <row r="21" spans="1:2" x14ac:dyDescent="0.2">
      <c r="A21" s="50" t="s">
        <v>503</v>
      </c>
      <c r="B21" t="s">
        <v>504</v>
      </c>
    </row>
  </sheetData>
  <pageMargins left="0.75" right="0.75" top="1" bottom="1" header="0.5" footer="0.5"/>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25"/>
  <sheetViews>
    <sheetView workbookViewId="0"/>
  </sheetViews>
  <sheetFormatPr baseColWidth="10" defaultColWidth="8.83203125" defaultRowHeight="15" x14ac:dyDescent="0.2"/>
  <cols>
    <col min="1" max="1" width="45" customWidth="1"/>
    <col min="2" max="2" width="70" customWidth="1"/>
  </cols>
  <sheetData>
    <row r="1" spans="1:2" ht="19" x14ac:dyDescent="0.25">
      <c r="A1" s="47" t="s">
        <v>505</v>
      </c>
    </row>
    <row r="2" spans="1:2" x14ac:dyDescent="0.2">
      <c r="A2" s="48" t="s">
        <v>506</v>
      </c>
    </row>
    <row r="4" spans="1:2" x14ac:dyDescent="0.2">
      <c r="A4" s="49" t="s">
        <v>39</v>
      </c>
      <c r="B4" s="49" t="s">
        <v>40</v>
      </c>
    </row>
    <row r="5" spans="1:2" x14ac:dyDescent="0.2">
      <c r="A5" s="50" t="s">
        <v>174</v>
      </c>
      <c r="B5" t="s">
        <v>507</v>
      </c>
    </row>
    <row r="6" spans="1:2" x14ac:dyDescent="0.2">
      <c r="A6" s="50" t="s">
        <v>303</v>
      </c>
      <c r="B6" t="s">
        <v>508</v>
      </c>
    </row>
    <row r="7" spans="1:2" x14ac:dyDescent="0.2">
      <c r="A7" s="50" t="s">
        <v>509</v>
      </c>
      <c r="B7" t="s">
        <v>510</v>
      </c>
    </row>
    <row r="8" spans="1:2" x14ac:dyDescent="0.2">
      <c r="A8" s="50" t="s">
        <v>511</v>
      </c>
      <c r="B8" t="s">
        <v>512</v>
      </c>
    </row>
    <row r="9" spans="1:2" x14ac:dyDescent="0.2">
      <c r="A9" s="50" t="s">
        <v>513</v>
      </c>
      <c r="B9" t="s">
        <v>514</v>
      </c>
    </row>
    <row r="10" spans="1:2" x14ac:dyDescent="0.2">
      <c r="A10" s="50" t="s">
        <v>515</v>
      </c>
      <c r="B10" t="s">
        <v>516</v>
      </c>
    </row>
    <row r="11" spans="1:2" x14ac:dyDescent="0.2">
      <c r="A11" s="50" t="s">
        <v>517</v>
      </c>
      <c r="B11" t="s">
        <v>518</v>
      </c>
    </row>
    <row r="12" spans="1:2" x14ac:dyDescent="0.2">
      <c r="A12" s="50" t="s">
        <v>298</v>
      </c>
      <c r="B12" t="s">
        <v>519</v>
      </c>
    </row>
    <row r="13" spans="1:2" x14ac:dyDescent="0.2">
      <c r="A13" s="50" t="s">
        <v>292</v>
      </c>
      <c r="B13" t="s">
        <v>520</v>
      </c>
    </row>
    <row r="14" spans="1:2" x14ac:dyDescent="0.2">
      <c r="A14" s="50" t="s">
        <v>521</v>
      </c>
      <c r="B14" t="s">
        <v>522</v>
      </c>
    </row>
    <row r="15" spans="1:2" x14ac:dyDescent="0.2">
      <c r="A15" s="50" t="s">
        <v>300</v>
      </c>
      <c r="B15" t="s">
        <v>523</v>
      </c>
    </row>
    <row r="16" spans="1:2" x14ac:dyDescent="0.2">
      <c r="A16" s="50" t="s">
        <v>524</v>
      </c>
      <c r="B16" t="s">
        <v>525</v>
      </c>
    </row>
    <row r="17" spans="1:2" x14ac:dyDescent="0.2">
      <c r="A17" s="50" t="s">
        <v>526</v>
      </c>
      <c r="B17" t="s">
        <v>527</v>
      </c>
    </row>
    <row r="18" spans="1:2" x14ac:dyDescent="0.2">
      <c r="A18" s="50" t="s">
        <v>528</v>
      </c>
      <c r="B18" t="s">
        <v>529</v>
      </c>
    </row>
    <row r="19" spans="1:2" x14ac:dyDescent="0.2">
      <c r="A19" s="50" t="s">
        <v>530</v>
      </c>
      <c r="B19" t="s">
        <v>531</v>
      </c>
    </row>
    <row r="20" spans="1:2" x14ac:dyDescent="0.2">
      <c r="A20" s="50" t="s">
        <v>532</v>
      </c>
      <c r="B20" t="s">
        <v>533</v>
      </c>
    </row>
    <row r="21" spans="1:2" x14ac:dyDescent="0.2">
      <c r="A21" s="50" t="s">
        <v>534</v>
      </c>
      <c r="B21" t="s">
        <v>535</v>
      </c>
    </row>
    <row r="22" spans="1:2" x14ac:dyDescent="0.2">
      <c r="A22" s="50" t="s">
        <v>302</v>
      </c>
      <c r="B22" t="s">
        <v>536</v>
      </c>
    </row>
    <row r="23" spans="1:2" x14ac:dyDescent="0.2">
      <c r="A23" s="50" t="s">
        <v>537</v>
      </c>
      <c r="B23" t="s">
        <v>538</v>
      </c>
    </row>
    <row r="24" spans="1:2" x14ac:dyDescent="0.2">
      <c r="A24" s="50" t="s">
        <v>539</v>
      </c>
      <c r="B24" t="s">
        <v>540</v>
      </c>
    </row>
    <row r="25" spans="1:2" x14ac:dyDescent="0.2">
      <c r="A25" s="50" t="s">
        <v>541</v>
      </c>
      <c r="B25" t="s">
        <v>542</v>
      </c>
    </row>
  </sheetData>
  <pageMargins left="0.75" right="0.75" top="1" bottom="1" header="0.5" footer="0.5"/>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7"/>
  <sheetViews>
    <sheetView workbookViewId="0"/>
  </sheetViews>
  <sheetFormatPr baseColWidth="10" defaultColWidth="8.83203125" defaultRowHeight="15" x14ac:dyDescent="0.2"/>
  <cols>
    <col min="1" max="1" width="45" customWidth="1"/>
    <col min="2" max="2" width="70" customWidth="1"/>
  </cols>
  <sheetData>
    <row r="1" spans="1:2" ht="19" x14ac:dyDescent="0.25">
      <c r="A1" s="47" t="s">
        <v>543</v>
      </c>
    </row>
    <row r="2" spans="1:2" x14ac:dyDescent="0.2">
      <c r="A2" s="48" t="s">
        <v>544</v>
      </c>
    </row>
    <row r="4" spans="1:2" x14ac:dyDescent="0.2">
      <c r="A4" s="49" t="s">
        <v>39</v>
      </c>
      <c r="B4" s="49" t="s">
        <v>40</v>
      </c>
    </row>
    <row r="5" spans="1:2" x14ac:dyDescent="0.2">
      <c r="A5" s="50" t="s">
        <v>297</v>
      </c>
      <c r="B5" t="s">
        <v>545</v>
      </c>
    </row>
    <row r="6" spans="1:2" x14ac:dyDescent="0.2">
      <c r="A6" s="50" t="s">
        <v>299</v>
      </c>
      <c r="B6" t="s">
        <v>546</v>
      </c>
    </row>
    <row r="7" spans="1:2" x14ac:dyDescent="0.2">
      <c r="A7" s="50" t="s">
        <v>547</v>
      </c>
      <c r="B7" t="s">
        <v>548</v>
      </c>
    </row>
  </sheetData>
  <pageMargins left="0.75" right="0.75" top="1" bottom="1" header="0.5" footer="0.5"/>
  <pageSetup paperSize="9" orientation="portrait"/>
</worksheet>
</file>

<file path=docMetadata/LabelInfo.xml><?xml version="1.0" encoding="utf-8"?>
<clbl:labelList xmlns:clbl="http://schemas.microsoft.com/office/2020/mipLabelMetadata">
  <clbl:label id="{3976fa30-1907-4356-8241-62ea5e1c0256}" enabled="1" method="Standard" siteId="{9a5cacd0-2bef-4dd7-ac5c-7ebe1f54f495}"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Instructions</vt:lpstr>
      <vt:lpstr>Top-Level Model</vt:lpstr>
      <vt:lpstr>COMPONENT_SELECTOR</vt:lpstr>
      <vt:lpstr>Model Components</vt:lpstr>
      <vt:lpstr>Horizontal Grid</vt:lpstr>
      <vt:lpstr>Vertical Grid</vt:lpstr>
      <vt:lpstr>References</vt:lpstr>
      <vt:lpstr>CV_Component</vt:lpstr>
      <vt:lpstr>CV_Calendar</vt:lpstr>
      <vt:lpstr>CV_Grid</vt:lpstr>
      <vt:lpstr>CV_GridMapping</vt:lpstr>
      <vt:lpstr>CV_Region</vt:lpstr>
      <vt:lpstr>CV_TemporalRefinement</vt:lpstr>
      <vt:lpstr>CV_Arrangement</vt:lpstr>
      <vt:lpstr>CV_CellVariableType</vt:lpstr>
      <vt:lpstr>CV_MeshLocation</vt:lpstr>
      <vt:lpstr>CV_HorizontalUnits</vt:lpstr>
      <vt:lpstr>CV_TruncationMethod</vt:lpstr>
      <vt:lpstr>CV_NominalResolution</vt:lpstr>
      <vt:lpstr>CV_Coordinate</vt:lpstr>
      <vt:lpstr>CV_VerticalUnits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Ellis</cp:lastModifiedBy>
  <cp:revision>5</cp:revision>
  <dcterms:created xsi:type="dcterms:W3CDTF">2025-10-21T09:50:54Z</dcterms:created>
  <dcterms:modified xsi:type="dcterms:W3CDTF">2025-12-17T10:52:24Z</dcterms:modified>
</cp:coreProperties>
</file>